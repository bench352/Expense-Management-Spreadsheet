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filterPrivacy="1" codeName="ThisWorkbook" defaultThemeVersion="166925"/>
  <xr:revisionPtr revIDLastSave="257" documentId="10_ncr:8000_{791BB596-95D0-465A-B146-717738F592FD}" xr6:coauthVersionLast="47" xr6:coauthVersionMax="47" xr10:uidLastSave="{D7F3CE76-293A-4122-ABAE-CD0A89C44A31}"/>
  <bookViews>
    <workbookView xWindow="34462" yWindow="-98" windowWidth="30916" windowHeight="17475" xr2:uid="{67C90603-08DB-4FAB-BB83-C4DFE26E2260}"/>
  </bookViews>
  <sheets>
    <sheet name="Extra Tools" sheetId="15" r:id="rId1"/>
    <sheet name="Notepad" sheetId="19" r:id="rId2"/>
    <sheet name="Expense Estimate (Daily)" sheetId="2" r:id="rId3"/>
    <sheet name="Expense Estimate (Subscription)" sheetId="8" r:id="rId4"/>
    <sheet name="Lower Budget Mode (Daily)" sheetId="10" r:id="rId5"/>
    <sheet name="Lower Budget Mode (Subscription" sheetId="11" r:id="rId6"/>
    <sheet name="Minimum Expense (Daily)" sheetId="5" r:id="rId7"/>
    <sheet name="Minimum Expense (Subscription)" sheetId="7" r:id="rId8"/>
    <sheet name="Expense comparison" sheetId="9" r:id="rId9"/>
    <sheet name="Day-off Spending" sheetId="12" r:id="rId10"/>
    <sheet name="Monthly Expense Calculator" sheetId="13" r:id="rId11"/>
    <sheet name="Inventory" sheetId="3" r:id="rId12"/>
    <sheet name="Obsoleted Items" sheetId="6" r:id="rId13"/>
    <sheet name="Inventory (Stat)" sheetId="4" r:id="rId14"/>
    <sheet name="Combo Box List" sheetId="14" state="hidden" r:id="rId15"/>
    <sheet name="Fund Data" sheetId="18" state="hidden" r:id="rId16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3" l="1"/>
  <c r="B3" i="3"/>
  <c r="F3" i="12"/>
  <c r="F4" i="12"/>
  <c r="F5" i="12"/>
  <c r="D3" i="11"/>
  <c r="D3" i="8"/>
  <c r="C2" i="2"/>
  <c r="F2" i="2" s="1"/>
  <c r="H2" i="2" s="1"/>
  <c r="E2" i="2"/>
  <c r="G2" i="2"/>
  <c r="C3" i="2"/>
  <c r="E3" i="2"/>
  <c r="G3" i="2"/>
  <c r="F3" i="2" l="1"/>
  <c r="H3" i="2" s="1"/>
  <c r="J6" i="12" l="1"/>
  <c r="J12" i="12" s="1"/>
  <c r="J5" i="12"/>
  <c r="J4" i="12"/>
  <c r="J3" i="12"/>
  <c r="J2" i="12"/>
  <c r="F2" i="12"/>
  <c r="D2" i="11"/>
  <c r="D3" i="9" s="1"/>
  <c r="D2" i="7"/>
  <c r="F3" i="9" s="1"/>
  <c r="D3" i="7"/>
  <c r="G3" i="10"/>
  <c r="E3" i="10"/>
  <c r="C3" i="10"/>
  <c r="G2" i="10"/>
  <c r="E2" i="10"/>
  <c r="C2" i="10"/>
  <c r="D2" i="8"/>
  <c r="B10" i="4"/>
  <c r="C10" i="4" s="1"/>
  <c r="B9" i="4"/>
  <c r="C9" i="4" s="1"/>
  <c r="B8" i="4"/>
  <c r="C8" i="4" s="1"/>
  <c r="B6" i="4"/>
  <c r="C6" i="4" s="1"/>
  <c r="B5" i="4"/>
  <c r="C5" i="4" s="1"/>
  <c r="B2" i="6"/>
  <c r="B18" i="4" s="1"/>
  <c r="C18" i="4" s="1"/>
  <c r="G3" i="5"/>
  <c r="E3" i="5"/>
  <c r="C3" i="5"/>
  <c r="F3" i="5"/>
  <c r="H3" i="5"/>
  <c r="G2" i="5"/>
  <c r="E2" i="5"/>
  <c r="C2" i="5"/>
  <c r="B15" i="4" a="1"/>
  <c r="B15" i="4" s="1"/>
  <c r="B4" i="4"/>
  <c r="C4" i="4" s="1"/>
  <c r="B2" i="4"/>
  <c r="B2" i="3"/>
  <c r="B2" i="9"/>
  <c r="F2" i="5"/>
  <c r="H2" i="5"/>
  <c r="F2" i="9"/>
  <c r="B17" i="4"/>
  <c r="C17" i="4" s="1"/>
  <c r="F2" i="10"/>
  <c r="H2" i="10"/>
  <c r="B19" i="4" l="1"/>
  <c r="C19" i="4" s="1"/>
  <c r="F4" i="9"/>
  <c r="F3" i="10"/>
  <c r="H3" i="10" s="1"/>
  <c r="D2" i="9" s="1"/>
  <c r="D4" i="9" s="1"/>
  <c r="K3" i="12" a="1"/>
  <c r="K3" i="12" s="1"/>
  <c r="C7" i="13"/>
  <c r="C6" i="13"/>
  <c r="J15" i="12"/>
  <c r="J7" i="12"/>
  <c r="J9" i="12"/>
  <c r="J10" i="12"/>
  <c r="J8" i="12"/>
  <c r="J13" i="12"/>
  <c r="J14" i="12"/>
  <c r="J11" i="12"/>
  <c r="B3" i="9"/>
  <c r="B4" i="9" s="1"/>
  <c r="B13" i="4"/>
  <c r="C13" i="4" s="1"/>
  <c r="B12" i="4"/>
  <c r="C12" i="4" s="1"/>
  <c r="B14" i="4"/>
  <c r="C14" i="4" s="1"/>
  <c r="C5" i="13" l="1"/>
  <c r="C9" i="1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<sst xmlns="http://schemas.openxmlformats.org/spreadsheetml/2006/main" count="164" uniqueCount="95">
  <si>
    <t>Categories</t>
    <phoneticPr fontId="2" type="noConversion"/>
  </si>
  <si>
    <t>Each day expense in weekday</t>
    <phoneticPr fontId="2" type="noConversion"/>
  </si>
  <si>
    <t>Total in weekday</t>
    <phoneticPr fontId="2" type="noConversion"/>
  </si>
  <si>
    <t>Each day expense in weekend</t>
    <phoneticPr fontId="2" type="noConversion"/>
  </si>
  <si>
    <t>Total in weekend</t>
    <phoneticPr fontId="2" type="noConversion"/>
  </si>
  <si>
    <t>Total in 28 days</t>
    <phoneticPr fontId="2" type="noConversion"/>
  </si>
  <si>
    <t>extra</t>
    <phoneticPr fontId="2" type="noConversion"/>
  </si>
  <si>
    <t>Total in categories</t>
    <phoneticPr fontId="2" type="noConversion"/>
  </si>
  <si>
    <t>Food</t>
    <phoneticPr fontId="2" type="noConversion"/>
  </si>
  <si>
    <t>Transportation</t>
    <phoneticPr fontId="2" type="noConversion"/>
  </si>
  <si>
    <t>Price</t>
    <phoneticPr fontId="2" type="noConversion"/>
  </si>
  <si>
    <t>Brand</t>
    <phoneticPr fontId="2" type="noConversion"/>
  </si>
  <si>
    <t>Item Name</t>
    <phoneticPr fontId="2" type="noConversion"/>
  </si>
  <si>
    <t>Date of buying</t>
    <phoneticPr fontId="2" type="noConversion"/>
  </si>
  <si>
    <t>Total day of ownership</t>
    <phoneticPr fontId="2" type="noConversion"/>
  </si>
  <si>
    <t>Serial No</t>
    <phoneticPr fontId="2" type="noConversion"/>
  </si>
  <si>
    <t>Notes</t>
    <phoneticPr fontId="2" type="noConversion"/>
  </si>
  <si>
    <t>N.A.</t>
    <phoneticPr fontId="2" type="noConversion"/>
  </si>
  <si>
    <t>Statistics</t>
    <phoneticPr fontId="2" type="noConversion"/>
  </si>
  <si>
    <t xml:space="preserve">Most Occurred Brand = </t>
    <phoneticPr fontId="2" type="noConversion"/>
  </si>
  <si>
    <t>Original</t>
    <phoneticPr fontId="2" type="noConversion"/>
  </si>
  <si>
    <t>Total:</t>
    <phoneticPr fontId="2" type="noConversion"/>
  </si>
  <si>
    <t>Date of obsolete</t>
    <phoneticPr fontId="2" type="noConversion"/>
  </si>
  <si>
    <t>No. of day owned</t>
    <phoneticPr fontId="2" type="noConversion"/>
  </si>
  <si>
    <t>Most Expensive</t>
    <phoneticPr fontId="2" type="noConversion"/>
  </si>
  <si>
    <t xml:space="preserve">1st </t>
    <phoneticPr fontId="2" type="noConversion"/>
  </si>
  <si>
    <t>2nd</t>
    <phoneticPr fontId="2" type="noConversion"/>
  </si>
  <si>
    <t>3rd</t>
    <phoneticPr fontId="2" type="noConversion"/>
  </si>
  <si>
    <t>Longest Ownership (Day)</t>
    <phoneticPr fontId="2" type="noConversion"/>
  </si>
  <si>
    <t xml:space="preserve">Total Value = </t>
    <phoneticPr fontId="2" type="noConversion"/>
  </si>
  <si>
    <t>Cheapest</t>
    <phoneticPr fontId="2" type="noConversion"/>
  </si>
  <si>
    <t>Charge period</t>
    <phoneticPr fontId="2" type="noConversion"/>
  </si>
  <si>
    <t>Monthly Price</t>
    <phoneticPr fontId="2" type="noConversion"/>
  </si>
  <si>
    <t>Monthly</t>
    <phoneticPr fontId="2" type="noConversion"/>
  </si>
  <si>
    <t>Services / Regular Expense</t>
    <phoneticPr fontId="2" type="noConversion"/>
  </si>
  <si>
    <t xml:space="preserve">Total daily expense = </t>
    <phoneticPr fontId="2" type="noConversion"/>
  </si>
  <si>
    <t xml:space="preserve">New daily espense = </t>
    <phoneticPr fontId="2" type="noConversion"/>
  </si>
  <si>
    <t xml:space="preserve">Services / Regular Expense = </t>
    <phoneticPr fontId="2" type="noConversion"/>
  </si>
  <si>
    <t>Minimum Expense</t>
    <phoneticPr fontId="2" type="noConversion"/>
  </si>
  <si>
    <t>Lower Budget Mode</t>
    <phoneticPr fontId="2" type="noConversion"/>
  </si>
  <si>
    <t>Amount</t>
    <phoneticPr fontId="2" type="noConversion"/>
  </si>
  <si>
    <t>Yearly</t>
    <phoneticPr fontId="2" type="noConversion"/>
  </si>
  <si>
    <t>Yearly</t>
  </si>
  <si>
    <t>Date</t>
    <phoneticPr fontId="2" type="noConversion"/>
  </si>
  <si>
    <t>Food and Snacks</t>
    <phoneticPr fontId="2" type="noConversion"/>
  </si>
  <si>
    <t>Drink</t>
    <phoneticPr fontId="2" type="noConversion"/>
  </si>
  <si>
    <t>Total Spending</t>
    <phoneticPr fontId="2" type="noConversion"/>
  </si>
  <si>
    <t>Public Transport</t>
    <phoneticPr fontId="2" type="noConversion"/>
  </si>
  <si>
    <t>Averge spending of</t>
    <phoneticPr fontId="2" type="noConversion"/>
  </si>
  <si>
    <t>Taxi-Uber</t>
    <phoneticPr fontId="2" type="noConversion"/>
  </si>
  <si>
    <t>Taxi/Uber</t>
    <phoneticPr fontId="2" type="noConversion"/>
  </si>
  <si>
    <t>For Date Range:</t>
    <phoneticPr fontId="2" type="noConversion"/>
  </si>
  <si>
    <t>Total Spending of</t>
    <phoneticPr fontId="2" type="noConversion"/>
  </si>
  <si>
    <t>All Categories</t>
    <phoneticPr fontId="2" type="noConversion"/>
  </si>
  <si>
    <t>For All the Records</t>
    <phoneticPr fontId="2" type="noConversion"/>
  </si>
  <si>
    <t>Monthly Expense Caculator</t>
    <phoneticPr fontId="2" type="noConversion"/>
  </si>
  <si>
    <t>Minimum Expense Mode</t>
    <phoneticPr fontId="2" type="noConversion"/>
  </si>
  <si>
    <t>Normal Expense Mode</t>
    <phoneticPr fontId="2" type="noConversion"/>
  </si>
  <si>
    <t>Select Expense Mode:</t>
    <phoneticPr fontId="2" type="noConversion"/>
  </si>
  <si>
    <t>Day-off Spending:</t>
    <phoneticPr fontId="2" type="noConversion"/>
  </si>
  <si>
    <t>Item purchased this month:</t>
    <phoneticPr fontId="2" type="noConversion"/>
  </si>
  <si>
    <t>Others (Manual input):</t>
    <phoneticPr fontId="2" type="noConversion"/>
  </si>
  <si>
    <t>Year + Month (Manual input):</t>
    <phoneticPr fontId="2" type="noConversion"/>
  </si>
  <si>
    <t>Name</t>
    <phoneticPr fontId="2" type="noConversion"/>
  </si>
  <si>
    <t>Essential Expense (excl. Day-off):</t>
    <phoneticPr fontId="2" type="noConversion"/>
  </si>
  <si>
    <t>Warranty</t>
    <phoneticPr fontId="2" type="noConversion"/>
  </si>
  <si>
    <t>Total Spending of Diff. Months</t>
  </si>
  <si>
    <t>N.A.</t>
  </si>
  <si>
    <t>Extra Tools</t>
  </si>
  <si>
    <t/>
  </si>
  <si>
    <t>Obsoleted items - Longest Ownership (Day)</t>
  </si>
  <si>
    <t xml:space="preserve">Total = </t>
  </si>
  <si>
    <t xml:space="preserve">Last update: </t>
  </si>
  <si>
    <t>Month Subscription 1</t>
  </si>
  <si>
    <t>Yearly Subscription 1</t>
  </si>
  <si>
    <t>Cheaper Monthly Subscription 1</t>
  </si>
  <si>
    <t>Cheaper Yearly Subscription 1</t>
  </si>
  <si>
    <t>Cheapest Monthly Subscription 1</t>
  </si>
  <si>
    <t>Cheapest Yearly Subscription 1</t>
  </si>
  <si>
    <t>Laptop</t>
  </si>
  <si>
    <t>2 Year</t>
  </si>
  <si>
    <t>(Useless Field)</t>
  </si>
  <si>
    <t>Phone</t>
  </si>
  <si>
    <t>1 Year</t>
  </si>
  <si>
    <t>Clothings</t>
  </si>
  <si>
    <t>Custom Build PC</t>
  </si>
  <si>
    <t>Sold to someone else</t>
  </si>
  <si>
    <t xml:space="preserve">REMINDER </t>
  </si>
  <si>
    <t>Excel disables VBA Macro by default. Click "Enable Content" on pop-up to use Fund Management Tool &amp; enable auto date update on "Last update".</t>
  </si>
  <si>
    <t>Desc</t>
  </si>
  <si>
    <t>Summer vacation</t>
  </si>
  <si>
    <t>Saving for traveling abroad in summer</t>
  </si>
  <si>
    <t>Investment</t>
  </si>
  <si>
    <t>sdhf jsnjqwf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</si>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</sst>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6" formatCode="&quot;$&quot;#,##0;[Red]\-&quot;$&quot;#,##0"/>
    <numFmt numFmtId="164" formatCode="0.00_);[Red]\(0.00\)"/>
    <numFmt numFmtId="165" formatCode="&quot;$&quot;#,##0.00_);[Red]\(&quot;$&quot;#,##0.00\)"/>
    <numFmt numFmtId="166" formatCode="&quot;$&quot;#,##0.00"/>
  </numFmts>
  <fonts count="19">
    <font>
      <sz val="12"/>
      <color theme="1"/>
      <name val="Calibri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Calibri"/>
      <family val="2"/>
      <charset val="136"/>
      <scheme val="minor"/>
    </font>
    <font>
      <b/>
      <sz val="20"/>
      <color theme="1"/>
      <name val="Bahnschrift"/>
      <family val="2"/>
    </font>
    <font>
      <b/>
      <sz val="22"/>
      <color theme="1" tint="0.14999847407452621"/>
      <name val="Bahnschrift SemiCondensed"/>
      <family val="2"/>
    </font>
    <font>
      <sz val="12"/>
      <color theme="1"/>
      <name val="Bahnschrift"/>
      <family val="2"/>
    </font>
    <font>
      <sz val="14"/>
      <color theme="1"/>
      <name val="Bahnschrift"/>
      <family val="2"/>
    </font>
    <font>
      <b/>
      <sz val="12"/>
      <color theme="1"/>
      <name val="Bahnschrift"/>
      <family val="2"/>
    </font>
    <font>
      <sz val="14"/>
      <name val="Bahnschrift"/>
      <family val="2"/>
    </font>
    <font>
      <sz val="12"/>
      <color theme="1" tint="4.9989318521683403E-2"/>
      <name val="Bahnschrift"/>
      <family val="2"/>
    </font>
    <font>
      <b/>
      <sz val="22"/>
      <color theme="1"/>
      <name val="Bahnschrift"/>
      <family val="2"/>
    </font>
    <font>
      <sz val="12"/>
      <color theme="0"/>
      <name val="Bahnschrift"/>
      <family val="2"/>
    </font>
    <font>
      <sz val="16"/>
      <color theme="1"/>
      <name val="Bahnschrift"/>
      <family val="2"/>
    </font>
    <font>
      <b/>
      <sz val="18"/>
      <color theme="1"/>
      <name val="Bahnschrift"/>
      <family val="2"/>
    </font>
    <font>
      <sz val="14"/>
      <color theme="0"/>
      <name val="Bahnschrift"/>
      <family val="2"/>
    </font>
    <font>
      <b/>
      <sz val="14"/>
      <color theme="1"/>
      <name val="Bahnschrift"/>
      <family val="2"/>
    </font>
    <font>
      <sz val="14"/>
      <color theme="1"/>
      <name val="Bahnschrift SemiBold SemiConden"/>
      <family val="2"/>
    </font>
    <font>
      <sz val="16"/>
      <color theme="1"/>
      <name val="Bahnschrift SemiBold SemiConden"/>
      <family val="2"/>
    </font>
    <font>
      <sz val="11"/>
      <color theme="1"/>
      <name val="Bahnschrift SemiBold Condensed"/>
      <family val="2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7D0DB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1" tint="0.249977111117893"/>
      </bottom>
      <diagonal/>
    </border>
    <border>
      <left/>
      <right/>
      <top/>
      <bottom style="thick">
        <color theme="9" tint="-0.499984740745262"/>
      </bottom>
      <diagonal/>
    </border>
    <border>
      <left/>
      <right/>
      <top/>
      <bottom style="thick">
        <color theme="7" tint="-0.499984740745262"/>
      </bottom>
      <diagonal/>
    </border>
    <border>
      <left/>
      <right/>
      <top/>
      <bottom style="thick">
        <color theme="5" tint="-0.499984740745262"/>
      </bottom>
      <diagonal/>
    </border>
    <border>
      <left/>
      <right/>
      <top/>
      <bottom style="thick">
        <color theme="3" tint="-0.499984740745262"/>
      </bottom>
      <diagonal/>
    </border>
    <border>
      <left style="thick">
        <color theme="3"/>
      </left>
      <right/>
      <top style="thick">
        <color theme="3"/>
      </top>
      <bottom style="thick">
        <color theme="3"/>
      </bottom>
      <diagonal/>
    </border>
    <border>
      <left/>
      <right style="thick">
        <color theme="3"/>
      </right>
      <top style="thick">
        <color theme="3"/>
      </top>
      <bottom style="thick">
        <color theme="3"/>
      </bottom>
      <diagonal/>
    </border>
    <border>
      <left/>
      <right/>
      <top style="thick">
        <color theme="3"/>
      </top>
      <bottom/>
      <diagonal/>
    </border>
    <border>
      <left/>
      <right/>
      <top/>
      <bottom style="thick">
        <color theme="3"/>
      </bottom>
      <diagonal/>
    </border>
    <border>
      <left/>
      <right/>
      <top/>
      <bottom style="thick">
        <color theme="1"/>
      </bottom>
      <diagonal/>
    </border>
    <border>
      <left/>
      <right/>
      <top style="thick">
        <color theme="3"/>
      </top>
      <bottom style="thick">
        <color theme="3" tint="0.59999389629810485"/>
      </bottom>
      <diagonal/>
    </border>
    <border>
      <left/>
      <right style="thick">
        <color theme="3" tint="0.59999389629810485"/>
      </right>
      <top style="thick">
        <color theme="3"/>
      </top>
      <bottom style="thick">
        <color theme="3" tint="0.59999389629810485"/>
      </bottom>
      <diagonal/>
    </border>
    <border>
      <left/>
      <right/>
      <top/>
      <bottom style="thick">
        <color theme="3" tint="0.59999389629810485"/>
      </bottom>
      <diagonal/>
    </border>
    <border>
      <left/>
      <right style="thick">
        <color theme="3" tint="0.79998168889431442"/>
      </right>
      <top/>
      <bottom style="thick">
        <color theme="3"/>
      </bottom>
      <diagonal/>
    </border>
    <border>
      <left/>
      <right style="thick">
        <color theme="3" tint="0.79998168889431442"/>
      </right>
      <top/>
      <bottom/>
      <diagonal/>
    </border>
    <border>
      <left/>
      <right style="thick">
        <color theme="3" tint="0.59999389629810485"/>
      </right>
      <top/>
      <bottom/>
      <diagonal/>
    </border>
    <border>
      <left/>
      <right style="thick">
        <color theme="3" tint="0.59999389629810485"/>
      </right>
      <top/>
      <bottom style="thick">
        <color theme="3"/>
      </bottom>
      <diagonal/>
    </border>
    <border>
      <left/>
      <right/>
      <top/>
      <bottom style="thick">
        <color theme="8" tint="-0.499984740745262"/>
      </bottom>
      <diagonal/>
    </border>
    <border>
      <left/>
      <right style="thick">
        <color theme="3"/>
      </right>
      <top style="thick">
        <color theme="3"/>
      </top>
      <bottom/>
      <diagonal/>
    </border>
    <border>
      <left/>
      <right/>
      <top style="thick">
        <color theme="3"/>
      </top>
      <bottom style="thick">
        <color theme="3"/>
      </bottom>
      <diagonal/>
    </border>
    <border>
      <left/>
      <right/>
      <top/>
      <bottom style="thick">
        <color theme="5" tint="-0.249977111117893"/>
      </bottom>
      <diagonal/>
    </border>
    <border>
      <left/>
      <right/>
      <top style="thick">
        <color theme="5" tint="-0.249977111117893"/>
      </top>
      <bottom/>
      <diagonal/>
    </border>
  </borders>
  <cellStyleXfs count="1">
    <xf numFmtId="0" fontId="0" fillId="0" borderId="0">
      <alignment vertical="center"/>
    </xf>
  </cellStyleXfs>
  <cellXfs count="110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10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165" fontId="6" fillId="0" borderId="0" xfId="0" applyNumberFormat="1" applyFont="1">
      <alignment vertical="center"/>
    </xf>
    <xf numFmtId="6" fontId="5" fillId="0" borderId="0" xfId="0" applyNumberFormat="1" applyFont="1">
      <alignment vertical="center"/>
    </xf>
    <xf numFmtId="0" fontId="5" fillId="0" borderId="0" xfId="0" quotePrefix="1" applyFont="1">
      <alignment vertical="center"/>
    </xf>
    <xf numFmtId="0" fontId="6" fillId="0" borderId="0" xfId="0" applyFont="1" applyProtection="1">
      <alignment vertical="center"/>
      <protection locked="0"/>
    </xf>
    <xf numFmtId="14" fontId="6" fillId="0" borderId="0" xfId="0" applyNumberFormat="1" applyFont="1" applyProtection="1">
      <alignment vertical="center"/>
      <protection locked="0"/>
    </xf>
    <xf numFmtId="0" fontId="6" fillId="10" borderId="0" xfId="0" applyFont="1" applyFill="1">
      <alignment vertical="center"/>
    </xf>
    <xf numFmtId="0" fontId="8" fillId="14" borderId="0" xfId="0" applyFont="1" applyFill="1" applyBorder="1">
      <alignment vertical="center"/>
    </xf>
    <xf numFmtId="166" fontId="8" fillId="14" borderId="0" xfId="0" applyNumberFormat="1" applyFont="1" applyFill="1" applyBorder="1">
      <alignment vertical="center"/>
    </xf>
    <xf numFmtId="0" fontId="6" fillId="11" borderId="0" xfId="0" applyFont="1" applyFill="1">
      <alignment vertical="center"/>
    </xf>
    <xf numFmtId="0" fontId="6" fillId="2" borderId="0" xfId="0" applyFont="1" applyFill="1">
      <alignment vertical="center"/>
    </xf>
    <xf numFmtId="0" fontId="8" fillId="14" borderId="0" xfId="0" applyFont="1" applyFill="1">
      <alignment vertical="center"/>
    </xf>
    <xf numFmtId="166" fontId="8" fillId="14" borderId="0" xfId="0" applyNumberFormat="1" applyFont="1" applyFill="1">
      <alignment vertical="center"/>
    </xf>
    <xf numFmtId="166" fontId="5" fillId="4" borderId="0" xfId="0" applyNumberFormat="1" applyFont="1" applyFill="1">
      <alignment vertical="center"/>
    </xf>
    <xf numFmtId="166" fontId="5" fillId="2" borderId="0" xfId="0" applyNumberFormat="1" applyFont="1" applyFill="1">
      <alignment vertical="center"/>
    </xf>
    <xf numFmtId="166" fontId="5" fillId="14" borderId="0" xfId="0" applyNumberFormat="1" applyFont="1" applyFill="1">
      <alignment vertical="center"/>
    </xf>
    <xf numFmtId="0" fontId="9" fillId="13" borderId="0" xfId="0" applyFont="1" applyFill="1">
      <alignment vertical="center"/>
    </xf>
    <xf numFmtId="0" fontId="5" fillId="13" borderId="0" xfId="0" applyFont="1" applyFill="1">
      <alignment vertical="center"/>
    </xf>
    <xf numFmtId="0" fontId="9" fillId="13" borderId="0" xfId="0" applyFont="1" applyFill="1" applyBorder="1">
      <alignment vertical="center"/>
    </xf>
    <xf numFmtId="49" fontId="14" fillId="0" borderId="0" xfId="0" applyNumberFormat="1" applyFont="1">
      <alignment vertical="center"/>
    </xf>
    <xf numFmtId="0" fontId="14" fillId="0" borderId="0" xfId="0" applyFont="1">
      <alignment vertical="center"/>
    </xf>
    <xf numFmtId="164" fontId="6" fillId="0" borderId="0" xfId="0" applyNumberFormat="1" applyFont="1">
      <alignment vertical="center"/>
    </xf>
    <xf numFmtId="14" fontId="6" fillId="0" borderId="0" xfId="0" applyNumberFormat="1" applyFont="1">
      <alignment vertical="center"/>
    </xf>
    <xf numFmtId="0" fontId="6" fillId="0" borderId="0" xfId="0" quotePrefix="1" applyFont="1">
      <alignment vertical="center"/>
    </xf>
    <xf numFmtId="0" fontId="6" fillId="0" borderId="0" xfId="0" applyFont="1" applyAlignment="1">
      <alignment vertical="center" wrapText="1"/>
    </xf>
    <xf numFmtId="0" fontId="6" fillId="4" borderId="0" xfId="0" applyFont="1" applyFill="1" applyAlignment="1">
      <alignment horizontal="right" vertical="center"/>
    </xf>
    <xf numFmtId="0" fontId="6" fillId="4" borderId="0" xfId="0" applyFont="1" applyFill="1">
      <alignment vertical="center"/>
    </xf>
    <xf numFmtId="0" fontId="6" fillId="6" borderId="0" xfId="0" applyFont="1" applyFill="1" applyAlignment="1">
      <alignment horizontal="right" vertical="center"/>
    </xf>
    <xf numFmtId="0" fontId="6" fillId="3" borderId="0" xfId="0" applyFont="1" applyFill="1" applyAlignment="1">
      <alignment horizontal="right" vertical="center"/>
    </xf>
    <xf numFmtId="0" fontId="13" fillId="2" borderId="0" xfId="0" applyFont="1" applyFill="1" applyAlignment="1">
      <alignment horizontal="right" vertical="center"/>
    </xf>
    <xf numFmtId="0" fontId="6" fillId="14" borderId="0" xfId="0" applyFont="1" applyFill="1" applyAlignment="1">
      <alignment horizontal="right" vertical="center"/>
    </xf>
    <xf numFmtId="0" fontId="6" fillId="14" borderId="0" xfId="0" applyFont="1" applyFill="1">
      <alignment vertical="center"/>
    </xf>
    <xf numFmtId="164" fontId="6" fillId="3" borderId="0" xfId="0" applyNumberFormat="1" applyFont="1" applyFill="1">
      <alignment vertical="center"/>
    </xf>
    <xf numFmtId="0" fontId="6" fillId="3" borderId="0" xfId="0" applyFont="1" applyFill="1">
      <alignment vertical="center"/>
    </xf>
    <xf numFmtId="0" fontId="6" fillId="6" borderId="0" xfId="0" applyFont="1" applyFill="1" applyAlignment="1">
      <alignment horizontal="center" vertical="center"/>
    </xf>
    <xf numFmtId="0" fontId="6" fillId="6" borderId="0" xfId="0" applyFont="1" applyFill="1">
      <alignment vertical="center"/>
    </xf>
    <xf numFmtId="0" fontId="6" fillId="16" borderId="0" xfId="0" applyFont="1" applyFill="1" applyAlignment="1">
      <alignment horizontal="right" vertical="center"/>
    </xf>
    <xf numFmtId="164" fontId="6" fillId="16" borderId="0" xfId="0" applyNumberFormat="1" applyFont="1" applyFill="1">
      <alignment vertical="center"/>
    </xf>
    <xf numFmtId="0" fontId="6" fillId="16" borderId="0" xfId="0" applyFont="1" applyFill="1">
      <alignment vertical="center"/>
    </xf>
    <xf numFmtId="0" fontId="6" fillId="16" borderId="0" xfId="0" applyFont="1" applyFill="1" applyAlignment="1">
      <alignment horizontal="left" vertical="center"/>
    </xf>
    <xf numFmtId="0" fontId="15" fillId="12" borderId="5" xfId="0" applyFont="1" applyFill="1" applyBorder="1" applyAlignment="1">
      <alignment horizontal="right" vertical="center"/>
    </xf>
    <xf numFmtId="14" fontId="15" fillId="12" borderId="5" xfId="0" applyNumberFormat="1" applyFont="1" applyFill="1" applyBorder="1" applyAlignment="1" applyProtection="1">
      <alignment horizontal="center" vertical="center"/>
      <protection locked="0"/>
    </xf>
    <xf numFmtId="14" fontId="15" fillId="12" borderId="5" xfId="0" applyNumberFormat="1" applyFont="1" applyFill="1" applyBorder="1" applyAlignment="1" applyProtection="1">
      <alignment vertical="center"/>
      <protection locked="0"/>
    </xf>
    <xf numFmtId="0" fontId="6" fillId="18" borderId="0" xfId="0" applyFont="1" applyFill="1">
      <alignment vertical="center"/>
    </xf>
    <xf numFmtId="0" fontId="12" fillId="10" borderId="20" xfId="0" applyFont="1" applyFill="1" applyBorder="1" applyAlignment="1" applyProtection="1">
      <alignment horizontal="center" vertical="center"/>
      <protection locked="0"/>
    </xf>
    <xf numFmtId="0" fontId="12" fillId="10" borderId="7" xfId="0" applyFont="1" applyFill="1" applyBorder="1" applyAlignment="1" applyProtection="1">
      <alignment horizontal="center" vertical="center"/>
      <protection locked="0"/>
    </xf>
    <xf numFmtId="0" fontId="5" fillId="4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5" fillId="14" borderId="0" xfId="0" applyFont="1" applyFill="1" applyAlignment="1">
      <alignment horizontal="right" vertical="center"/>
    </xf>
    <xf numFmtId="22" fontId="1" fillId="0" borderId="0" xfId="0" applyNumberFormat="1" applyFont="1">
      <alignment vertical="center"/>
    </xf>
    <xf numFmtId="166" fontId="6" fillId="0" borderId="0" xfId="0" applyNumberFormat="1" applyFont="1" applyProtection="1">
      <alignment vertical="center"/>
      <protection locked="0"/>
    </xf>
    <xf numFmtId="166" fontId="6" fillId="10" borderId="0" xfId="0" applyNumberFormat="1" applyFont="1" applyFill="1">
      <alignment vertical="center"/>
    </xf>
    <xf numFmtId="166" fontId="6" fillId="11" borderId="0" xfId="0" applyNumberFormat="1" applyFont="1" applyFill="1">
      <alignment vertical="center"/>
    </xf>
    <xf numFmtId="166" fontId="6" fillId="18" borderId="0" xfId="0" applyNumberFormat="1" applyFont="1" applyFill="1">
      <alignment vertical="center"/>
    </xf>
    <xf numFmtId="166" fontId="6" fillId="0" borderId="0" xfId="0" applyNumberFormat="1" applyFont="1">
      <alignment vertical="center"/>
    </xf>
    <xf numFmtId="166" fontId="13" fillId="2" borderId="0" xfId="0" applyNumberFormat="1" applyFont="1" applyFill="1">
      <alignment vertical="center"/>
    </xf>
    <xf numFmtId="166" fontId="6" fillId="4" borderId="0" xfId="0" applyNumberFormat="1" applyFont="1" applyFill="1">
      <alignment vertical="center"/>
    </xf>
    <xf numFmtId="166" fontId="6" fillId="14" borderId="0" xfId="0" applyNumberFormat="1" applyFont="1" applyFill="1">
      <alignment vertical="center"/>
    </xf>
    <xf numFmtId="0" fontId="4" fillId="9" borderId="0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right" vertical="center"/>
    </xf>
    <xf numFmtId="0" fontId="16" fillId="10" borderId="21" xfId="0" applyFont="1" applyFill="1" applyBorder="1" applyAlignment="1">
      <alignment horizontal="right" vertical="center"/>
    </xf>
    <xf numFmtId="22" fontId="16" fillId="10" borderId="0" xfId="0" applyNumberFormat="1" applyFont="1" applyFill="1" applyBorder="1" applyAlignment="1">
      <alignment horizontal="left" vertical="center"/>
    </xf>
    <xf numFmtId="22" fontId="16" fillId="10" borderId="21" xfId="0" applyNumberFormat="1" applyFont="1" applyFill="1" applyBorder="1" applyAlignment="1">
      <alignment horizontal="left" vertical="center"/>
    </xf>
    <xf numFmtId="0" fontId="18" fillId="14" borderId="22" xfId="0" applyFont="1" applyFill="1" applyBorder="1" applyAlignment="1">
      <alignment horizontal="left" vertical="center" wrapText="1" indent="1"/>
    </xf>
    <xf numFmtId="0" fontId="18" fillId="14" borderId="0" xfId="0" applyFont="1" applyFill="1" applyBorder="1" applyAlignment="1">
      <alignment horizontal="left" vertical="center" wrapText="1" indent="1"/>
    </xf>
    <xf numFmtId="0" fontId="18" fillId="14" borderId="21" xfId="0" applyFont="1" applyFill="1" applyBorder="1" applyAlignment="1">
      <alignment horizontal="left" vertical="center" wrapText="1" indent="1"/>
    </xf>
    <xf numFmtId="0" fontId="17" fillId="14" borderId="22" xfId="0" applyFont="1" applyFill="1" applyBorder="1" applyAlignment="1">
      <alignment horizontal="right" vertical="center"/>
    </xf>
    <xf numFmtId="0" fontId="17" fillId="14" borderId="0" xfId="0" applyFont="1" applyFill="1" applyBorder="1" applyAlignment="1">
      <alignment horizontal="right" vertical="center"/>
    </xf>
    <xf numFmtId="0" fontId="17" fillId="14" borderId="21" xfId="0" applyFont="1" applyFill="1" applyBorder="1" applyAlignment="1">
      <alignment horizontal="right" vertical="center"/>
    </xf>
    <xf numFmtId="0" fontId="7" fillId="7" borderId="2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15" borderId="4" xfId="0" applyFont="1" applyFill="1" applyBorder="1" applyAlignment="1">
      <alignment horizontal="center" vertical="center"/>
    </xf>
    <xf numFmtId="0" fontId="15" fillId="8" borderId="10" xfId="0" applyFont="1" applyFill="1" applyBorder="1" applyAlignment="1">
      <alignment horizontal="center" vertical="center"/>
    </xf>
    <xf numFmtId="0" fontId="15" fillId="11" borderId="0" xfId="0" applyFont="1" applyFill="1" applyAlignment="1">
      <alignment horizontal="center" vertical="center" wrapText="1"/>
    </xf>
    <xf numFmtId="0" fontId="15" fillId="18" borderId="0" xfId="0" applyFont="1" applyFill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0" fontId="15" fillId="15" borderId="4" xfId="0" applyFont="1" applyFill="1" applyBorder="1" applyAlignment="1">
      <alignment horizontal="center" vertical="center" wrapText="1"/>
    </xf>
    <xf numFmtId="0" fontId="3" fillId="12" borderId="0" xfId="0" applyFont="1" applyFill="1" applyBorder="1" applyAlignment="1">
      <alignment horizontal="center" vertical="center"/>
    </xf>
    <xf numFmtId="0" fontId="3" fillId="12" borderId="16" xfId="0" applyFont="1" applyFill="1" applyBorder="1" applyAlignment="1">
      <alignment horizontal="center" vertical="center"/>
    </xf>
    <xf numFmtId="0" fontId="3" fillId="12" borderId="9" xfId="0" applyFont="1" applyFill="1" applyBorder="1" applyAlignment="1">
      <alignment horizontal="center" vertical="center"/>
    </xf>
    <xf numFmtId="0" fontId="3" fillId="12" borderId="17" xfId="0" applyFont="1" applyFill="1" applyBorder="1" applyAlignment="1">
      <alignment horizontal="center" vertical="center"/>
    </xf>
    <xf numFmtId="0" fontId="5" fillId="11" borderId="8" xfId="0" applyFont="1" applyFill="1" applyBorder="1" applyAlignment="1">
      <alignment horizontal="right" vertical="center"/>
    </xf>
    <xf numFmtId="0" fontId="5" fillId="11" borderId="19" xfId="0" applyFont="1" applyFill="1" applyBorder="1" applyAlignment="1">
      <alignment horizontal="right" vertical="center"/>
    </xf>
    <xf numFmtId="0" fontId="5" fillId="11" borderId="0" xfId="0" applyFont="1" applyFill="1" applyAlignment="1">
      <alignment horizontal="right" vertical="center"/>
    </xf>
    <xf numFmtId="0" fontId="12" fillId="11" borderId="0" xfId="0" applyFont="1" applyFill="1" applyBorder="1" applyAlignment="1" applyProtection="1">
      <alignment horizontal="center" vertical="center"/>
      <protection locked="0"/>
    </xf>
    <xf numFmtId="0" fontId="12" fillId="11" borderId="15" xfId="0" applyFont="1" applyFill="1" applyBorder="1" applyAlignment="1" applyProtection="1">
      <alignment horizontal="center" vertical="center"/>
      <protection locked="0"/>
    </xf>
    <xf numFmtId="166" fontId="12" fillId="11" borderId="0" xfId="0" applyNumberFormat="1" applyFont="1" applyFill="1" applyBorder="1" applyAlignment="1">
      <alignment horizontal="right" vertical="center"/>
    </xf>
    <xf numFmtId="166" fontId="12" fillId="11" borderId="15" xfId="0" applyNumberFormat="1" applyFont="1" applyFill="1" applyBorder="1" applyAlignment="1">
      <alignment horizontal="right" vertical="center"/>
    </xf>
    <xf numFmtId="14" fontId="11" fillId="13" borderId="0" xfId="0" applyNumberFormat="1" applyFont="1" applyFill="1" applyAlignment="1">
      <alignment horizontal="center" vertical="center"/>
    </xf>
    <xf numFmtId="0" fontId="11" fillId="13" borderId="0" xfId="0" applyFont="1" applyFill="1" applyAlignment="1">
      <alignment horizontal="center" vertical="center"/>
    </xf>
    <xf numFmtId="166" fontId="12" fillId="10" borderId="6" xfId="0" applyNumberFormat="1" applyFont="1" applyFill="1" applyBorder="1" applyAlignment="1" applyProtection="1">
      <alignment horizontal="right" vertical="center"/>
      <protection locked="0"/>
    </xf>
    <xf numFmtId="166" fontId="12" fillId="10" borderId="7" xfId="0" applyNumberFormat="1" applyFont="1" applyFill="1" applyBorder="1" applyAlignment="1" applyProtection="1">
      <alignment horizontal="right" vertical="center"/>
      <protection locked="0"/>
    </xf>
    <xf numFmtId="166" fontId="12" fillId="11" borderId="9" xfId="0" applyNumberFormat="1" applyFont="1" applyFill="1" applyBorder="1" applyAlignment="1">
      <alignment horizontal="right" vertical="center"/>
    </xf>
    <xf numFmtId="166" fontId="12" fillId="11" borderId="14" xfId="0" applyNumberFormat="1" applyFont="1" applyFill="1" applyBorder="1" applyAlignment="1">
      <alignment horizontal="right" vertical="center"/>
    </xf>
    <xf numFmtId="166" fontId="3" fillId="12" borderId="11" xfId="0" applyNumberFormat="1" applyFont="1" applyFill="1" applyBorder="1" applyAlignment="1">
      <alignment horizontal="right" vertical="center"/>
    </xf>
    <xf numFmtId="166" fontId="3" fillId="12" borderId="12" xfId="0" applyNumberFormat="1" applyFont="1" applyFill="1" applyBorder="1" applyAlignment="1">
      <alignment horizontal="right" vertical="center"/>
    </xf>
    <xf numFmtId="0" fontId="5" fillId="11" borderId="0" xfId="0" applyFont="1" applyFill="1" applyBorder="1" applyAlignment="1">
      <alignment horizontal="right" vertical="center"/>
    </xf>
    <xf numFmtId="0" fontId="10" fillId="12" borderId="13" xfId="0" applyFont="1" applyFill="1" applyBorder="1" applyAlignment="1">
      <alignment horizontal="right" vertical="center"/>
    </xf>
    <xf numFmtId="0" fontId="15" fillId="5" borderId="3" xfId="0" applyFont="1" applyFill="1" applyBorder="1" applyAlignment="1">
      <alignment horizontal="center" vertical="center"/>
    </xf>
    <xf numFmtId="0" fontId="15" fillId="7" borderId="2" xfId="0" applyFont="1" applyFill="1" applyBorder="1" applyAlignment="1">
      <alignment horizontal="center" vertical="center"/>
    </xf>
    <xf numFmtId="0" fontId="15" fillId="6" borderId="18" xfId="0" applyFont="1" applyFill="1" applyBorder="1" applyAlignment="1">
      <alignment horizontal="center" vertical="center"/>
    </xf>
    <xf numFmtId="0" fontId="15" fillId="17" borderId="10" xfId="0" applyFont="1" applyFill="1" applyBorder="1" applyAlignment="1">
      <alignment horizontal="center" vertical="center"/>
    </xf>
    <xf numFmtId="0" fontId="15" fillId="15" borderId="4" xfId="0" applyFont="1" applyFill="1" applyBorder="1" applyAlignment="1">
      <alignment horizontal="center" vertical="center"/>
    </xf>
    <xf numFmtId="0" fontId="15" fillId="10" borderId="0" xfId="0" applyFont="1" applyFill="1" applyAlignment="1">
      <alignment horizontal="center" vertical="center" wrapText="1"/>
    </xf>
  </cellXfs>
  <cellStyles count="1">
    <cellStyle name="Normal" xfId="0" builtinId="0"/>
  </cellStyles>
  <dxfs count="82">
    <dxf>
      <font>
        <strike val="0"/>
        <outline val="0"/>
        <shadow val="0"/>
        <u val="none"/>
        <vertAlign val="baseline"/>
        <sz val="14"/>
        <name val="Bahnschrift"/>
        <family val="2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Bahnschrift"/>
        <family val="2"/>
        <scheme val="none"/>
      </font>
      <numFmt numFmtId="19" formatCode="d/m/yyyy"/>
    </dxf>
    <dxf>
      <font>
        <strike val="0"/>
        <outline val="0"/>
        <shadow val="0"/>
        <u val="none"/>
        <vertAlign val="baseline"/>
        <sz val="14"/>
        <name val="Bahnschrift"/>
        <family val="2"/>
        <scheme val="none"/>
      </font>
      <numFmt numFmtId="19" formatCode="d/m/yyyy"/>
    </dxf>
    <dxf>
      <font>
        <strike val="0"/>
        <outline val="0"/>
        <shadow val="0"/>
        <u val="none"/>
        <vertAlign val="baseline"/>
        <sz val="14"/>
        <name val="Bahnschrift"/>
        <family val="2"/>
        <scheme val="none"/>
      </font>
    </dxf>
    <dxf>
      <font>
        <strike val="0"/>
        <outline val="0"/>
        <shadow val="0"/>
        <u val="none"/>
        <vertAlign val="baseline"/>
        <sz val="14"/>
        <name val="Bahnschrift"/>
        <family val="2"/>
        <scheme val="none"/>
      </font>
    </dxf>
    <dxf>
      <font>
        <strike val="0"/>
        <outline val="0"/>
        <shadow val="0"/>
        <u val="none"/>
        <vertAlign val="baseline"/>
        <sz val="14"/>
        <name val="Bahnschrift"/>
        <family val="2"/>
        <scheme val="none"/>
      </font>
      <numFmt numFmtId="164" formatCode="0.00_);[Red]\(0.00\)"/>
    </dxf>
    <dxf>
      <font>
        <strike val="0"/>
        <outline val="0"/>
        <shadow val="0"/>
        <u val="none"/>
        <vertAlign val="baseline"/>
        <sz val="14"/>
        <name val="Bahnschrift"/>
        <family val="2"/>
        <scheme val="none"/>
      </font>
      <numFmt numFmtId="166" formatCode="&quot;$&quot;#,##0.00"/>
    </dxf>
    <dxf>
      <font>
        <strike val="0"/>
        <outline val="0"/>
        <shadow val="0"/>
        <u val="none"/>
        <vertAlign val="baseline"/>
        <sz val="14"/>
        <name val="Bahnschrift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0"/>
        <name val="Bahnschrift"/>
        <family val="2"/>
        <scheme val="none"/>
      </font>
    </dxf>
    <dxf>
      <font>
        <strike val="0"/>
        <outline val="0"/>
        <shadow val="0"/>
        <u val="none"/>
        <vertAlign val="baseline"/>
        <sz val="14"/>
        <name val="Bahnschrift"/>
        <family val="2"/>
        <scheme val="none"/>
      </font>
    </dxf>
    <dxf>
      <font>
        <strike val="0"/>
        <outline val="0"/>
        <shadow val="0"/>
        <u val="none"/>
        <vertAlign val="baseline"/>
        <sz val="14"/>
        <name val="Bahnschrift"/>
        <family val="2"/>
        <scheme val="none"/>
      </font>
      <numFmt numFmtId="164" formatCode="0.00_);[Red]\(0.00\)"/>
    </dxf>
    <dxf>
      <font>
        <strike val="0"/>
        <outline val="0"/>
        <shadow val="0"/>
        <u val="none"/>
        <vertAlign val="baseline"/>
        <sz val="14"/>
        <name val="Bahnschrift"/>
        <family val="2"/>
        <scheme val="none"/>
      </font>
      <numFmt numFmtId="164" formatCode="0.00_);[Red]\(0.00\)"/>
    </dxf>
    <dxf>
      <font>
        <strike val="0"/>
        <outline val="0"/>
        <shadow val="0"/>
        <u val="none"/>
        <vertAlign val="baseline"/>
        <sz val="14"/>
        <name val="Bahnschrift"/>
        <family val="2"/>
        <scheme val="none"/>
      </font>
      <numFmt numFmtId="19" formatCode="d/m/yyyy"/>
    </dxf>
    <dxf>
      <font>
        <strike val="0"/>
        <outline val="0"/>
        <shadow val="0"/>
        <u val="none"/>
        <vertAlign val="baseline"/>
        <sz val="14"/>
        <name val="Bahnschrift"/>
        <family val="2"/>
        <scheme val="none"/>
      </font>
      <numFmt numFmtId="19" formatCode="d/m/yyyy"/>
    </dxf>
    <dxf>
      <font>
        <strike val="0"/>
        <outline val="0"/>
        <shadow val="0"/>
        <u val="none"/>
        <vertAlign val="baseline"/>
        <sz val="14"/>
        <name val="Bahnschrift"/>
        <family val="2"/>
        <scheme val="none"/>
      </font>
    </dxf>
    <dxf>
      <font>
        <strike val="0"/>
        <outline val="0"/>
        <shadow val="0"/>
        <u val="none"/>
        <vertAlign val="baseline"/>
        <sz val="14"/>
        <name val="Bahnschrift"/>
        <family val="2"/>
        <scheme val="none"/>
      </font>
    </dxf>
    <dxf>
      <font>
        <strike val="0"/>
        <outline val="0"/>
        <shadow val="0"/>
        <u val="none"/>
        <vertAlign val="baseline"/>
        <sz val="14"/>
        <name val="Bahnschrift"/>
        <family val="2"/>
        <scheme val="none"/>
      </font>
      <numFmt numFmtId="164" formatCode="0.00_);[Red]\(0.00\)"/>
    </dxf>
    <dxf>
      <font>
        <strike val="0"/>
        <outline val="0"/>
        <shadow val="0"/>
        <u val="none"/>
        <vertAlign val="baseline"/>
        <sz val="14"/>
        <name val="Bahnschrift"/>
        <family val="2"/>
        <scheme val="none"/>
      </font>
      <numFmt numFmtId="166" formatCode="&quot;$&quot;#,##0.00"/>
    </dxf>
    <dxf>
      <font>
        <strike val="0"/>
        <outline val="0"/>
        <shadow val="0"/>
        <u val="none"/>
        <vertAlign val="baseline"/>
        <sz val="14"/>
        <name val="Bahnschrift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0"/>
        <name val="Bahnschrift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numFmt numFmtId="166" formatCode="&quot;$&quot;#,##0.0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numFmt numFmtId="166" formatCode="&quot;$&quot;#,##0.0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numFmt numFmtId="166" formatCode="&quot;$&quot;#,##0.0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numFmt numFmtId="166" formatCode="&quot;$&quot;#,##0.0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numFmt numFmtId="166" formatCode="&quot;$&quot;#,##0.0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numFmt numFmtId="165" formatCode="&quot;$&quot;#,##0.00_);[Red]\(&quot;$&quot;#,##0.00\)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numFmt numFmtId="165" formatCode="&quot;$&quot;#,##0.00_);[Red]\(&quot;$&quot;#,##0.00\)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numFmt numFmtId="165" formatCode="&quot;$&quot;#,##0.00_);[Red]\(&quot;$&quot;#,##0.00\)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numFmt numFmtId="165" formatCode="&quot;$&quot;#,##0.00_);[Red]\(&quot;$&quot;#,##0.00\)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numFmt numFmtId="165" formatCode="&quot;$&quot;#,##0.00_);[Red]\(&quot;$&quot;#,##0.00\)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numFmt numFmtId="165" formatCode="&quot;$&quot;#,##0.00_);[Red]\(&quot;$&quot;#,##0.00\)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numFmt numFmtId="165" formatCode="&quot;$&quot;#,##0.00_);[Red]\(&quot;$&quot;#,##0.00\)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numFmt numFmtId="165" formatCode="&quot;$&quot;#,##0.00_);[Red]\(&quot;$&quot;#,##0.00\)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numFmt numFmtId="165" formatCode="&quot;$&quot;#,##0.00_);[Red]\(&quot;$&quot;#,##0.00\)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numFmt numFmtId="165" formatCode="&quot;$&quot;#,##0.00_);[Red]\(&quot;$&quot;#,##0.00\)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numFmt numFmtId="165" formatCode="&quot;$&quot;#,##0.00_);[Red]\(&quot;$&quot;#,##0.00\)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numFmt numFmtId="165" formatCode="&quot;$&quot;#,##0.00_);[Red]\(&quot;$&quot;#,##0.00\)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numFmt numFmtId="165" formatCode="&quot;$&quot;#,##0.00_);[Red]\(&quot;$&quot;#,##0.00\)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numFmt numFmtId="165" formatCode="&quot;$&quot;#,##0.00_);[Red]\(&quot;$&quot;#,##0.00\)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numFmt numFmtId="165" formatCode="&quot;$&quot;#,##0.00_);[Red]\(&quot;$&quot;#,##0.00\)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numFmt numFmtId="165" formatCode="&quot;$&quot;#,##0.00_);[Red]\(&quot;$&quot;#,##0.00\)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numFmt numFmtId="165" formatCode="&quot;$&quot;#,##0.00_);[Red]\(&quot;$&quot;#,##0.00\)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numFmt numFmtId="165" formatCode="&quot;$&quot;#,##0.00_);[Red]\(&quot;$&quot;#,##0.00\)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numFmt numFmtId="165" formatCode="&quot;$&quot;#,##0.00_);[Red]\(&quot;$&quot;#,##0.00\)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numFmt numFmtId="165" formatCode="&quot;$&quot;#,##0.00_);[Red]\(&quot;$&quot;#,##0.00\)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numFmt numFmtId="165" formatCode="&quot;$&quot;#,##0.00_);[Red]\(&quot;$&quot;#,##0.00\)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numFmt numFmtId="165" formatCode="&quot;$&quot;#,##0.00_);[Red]\(&quot;$&quot;#,##0.00\)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numFmt numFmtId="165" formatCode="&quot;$&quot;#,##0.00_);[Red]\(&quot;$&quot;#,##0.00\)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numFmt numFmtId="165" formatCode="&quot;$&quot;#,##0.00_);[Red]\(&quot;$&quot;#,##0.00\)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numFmt numFmtId="165" formatCode="&quot;$&quot;#,##0.00_);[Red]\(&quot;$&quot;#,##0.00\)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numFmt numFmtId="165" formatCode="&quot;$&quot;#,##0.00_);[Red]\(&quot;$&quot;#,##0.00\)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  <numFmt numFmtId="165" formatCode="&quot;$&quot;#,##0.00_);[Red]\(&quot;$&quot;#,##0.00\)"/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Bahnschrift"/>
        <family val="2"/>
        <scheme val="none"/>
      </font>
    </dxf>
    <dxf>
      <border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theme="0" tint="-0.14996795556505021"/>
        </patternFill>
      </fill>
      <border>
        <bottom style="thick">
          <color auto="1"/>
        </bottom>
      </border>
    </dxf>
    <dxf>
      <fill>
        <patternFill>
          <bgColor theme="0"/>
        </patternFill>
      </fill>
    </dxf>
  </dxfs>
  <tableStyles count="1" defaultTableStyle="TableStyleMedium2" defaultPivotStyle="PivotStyleLight16">
    <tableStyle name="Table Style 1" pivot="0" count="6" xr9:uid="{155C0B08-225E-478A-A5F4-B1B4F4D59CAC}">
      <tableStyleElement type="wholeTable" dxfId="81"/>
      <tableStyleElement type="headerRow" dxfId="80"/>
      <tableStyleElement type="firstRowStripe" dxfId="79"/>
      <tableStyleElement type="secondRowStripe" dxfId="78"/>
      <tableStyleElement type="firstColumnStripe" dxfId="77"/>
      <tableStyleElement type="secondColumnStripe" dxfId="76"/>
    </tableStyle>
  </tableStyles>
  <colors>
    <mruColors>
      <color rgb="FFC7D0DB"/>
      <color rgb="FFC39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en-US" altLang="zh-TW">
                <a:latin typeface="Bahnschrift" panose="020B0502040204020203" pitchFamily="34" charset="0"/>
              </a:rPr>
              <a:t>Total Spending (Ratio)</a:t>
            </a:r>
            <a:endParaRPr lang="zh-TW" altLang="en-US">
              <a:latin typeface="Bahnschrift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70D-4E4E-B0CB-377F115115A1}"/>
              </c:ext>
            </c:extLst>
          </c:dPt>
          <c:dPt>
            <c:idx val="1"/>
            <c:bubble3D val="0"/>
            <c:spPr>
              <a:solidFill>
                <a:schemeClr val="bg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70D-4E4E-B0CB-377F115115A1}"/>
              </c:ext>
            </c:extLst>
          </c:dPt>
          <c:dPt>
            <c:idx val="2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70D-4E4E-B0CB-377F115115A1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70D-4E4E-B0CB-377F115115A1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'Day-off Spending'!$I$11:$I$14</c:f>
              <c:strCache>
                <c:ptCount val="4"/>
                <c:pt idx="0">
                  <c:v>Public Transport</c:v>
                </c:pt>
                <c:pt idx="1">
                  <c:v>Taxi-Uber</c:v>
                </c:pt>
                <c:pt idx="2">
                  <c:v>Food and Snacks</c:v>
                </c:pt>
                <c:pt idx="3">
                  <c:v>Drink</c:v>
                </c:pt>
              </c:strCache>
            </c:strRef>
          </c:cat>
          <c:val>
            <c:numRef>
              <c:f>'Day-off Spending'!$J$11:$J$14</c:f>
              <c:numCache>
                <c:formatCode>"$"#,##0.00</c:formatCode>
                <c:ptCount val="4"/>
                <c:pt idx="0">
                  <c:v>100</c:v>
                </c:pt>
                <c:pt idx="1">
                  <c:v>200</c:v>
                </c:pt>
                <c:pt idx="2">
                  <c:v>250</c:v>
                </c:pt>
                <c:pt idx="3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27A-4B56-89FC-69E340093130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cap="all" spc="120" normalizeH="0" baseline="0">
                <a:solidFill>
                  <a:schemeClr val="accent2">
                    <a:lumMod val="50000"/>
                  </a:schemeClr>
                </a:solidFill>
                <a:latin typeface="Bahnschrift" panose="020B0502040204020203" pitchFamily="34" charset="0"/>
                <a:ea typeface="微軟正黑體" panose="020B0604030504040204" pitchFamily="34" charset="-120"/>
                <a:cs typeface="+mn-cs"/>
              </a:defRPr>
            </a:pPr>
            <a:r>
              <a:rPr lang="en-HK" sz="1100">
                <a:solidFill>
                  <a:schemeClr val="accent2">
                    <a:lumMod val="50000"/>
                  </a:schemeClr>
                </a:solidFill>
                <a:latin typeface="Bahnschrift" panose="020B0502040204020203" pitchFamily="34" charset="0"/>
                <a:ea typeface="微軟正黑體" panose="020B0604030504040204" pitchFamily="34" charset="-120"/>
              </a:rPr>
              <a:t>Total Spending of Different Months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cap="all" spc="120" normalizeH="0" baseline="0">
              <a:solidFill>
                <a:schemeClr val="accent2">
                  <a:lumMod val="50000"/>
                </a:schemeClr>
              </a:solidFill>
              <a:latin typeface="Bahnschrift" panose="020B0502040204020203" pitchFamily="34" charset="0"/>
              <a:ea typeface="微軟正黑體" panose="020B0604030504040204" pitchFamily="34" charset="-120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cat>
            <c:strRef>
              <c:f>'Day-off Spending'!$K$3:$K$15</c:f>
              <c:strCache>
                <c:ptCount val="2"/>
                <c:pt idx="0">
                  <c:v>2021-08</c:v>
                </c:pt>
                <c:pt idx="1">
                  <c:v>2021-09</c:v>
                </c:pt>
              </c:strCache>
            </c:strRef>
          </c:cat>
          <c:val>
            <c:numRef>
              <c:f>'Day-off Spending'!$L$3:$L$15</c:f>
              <c:numCache>
                <c:formatCode>"$"#,##0.00</c:formatCode>
                <c:ptCount val="13"/>
                <c:pt idx="0">
                  <c:v>620</c:v>
                </c:pt>
                <c:pt idx="1">
                  <c:v>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7C-4C21-A072-3587F8BBE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950943"/>
        <c:axId val="603947199"/>
      </c:lineChart>
      <c:catAx>
        <c:axId val="603950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微軟正黑體" panose="020B0604030504040204" pitchFamily="34" charset="-120"/>
                <a:cs typeface="+mn-cs"/>
              </a:defRPr>
            </a:pPr>
            <a:endParaRPr lang="en-US"/>
          </a:p>
        </c:txPr>
        <c:crossAx val="603947199"/>
        <c:crosses val="autoZero"/>
        <c:auto val="1"/>
        <c:lblAlgn val="ctr"/>
        <c:lblOffset val="100"/>
        <c:noMultiLvlLbl val="0"/>
      </c:catAx>
      <c:valAx>
        <c:axId val="603947199"/>
        <c:scaling>
          <c:orientation val="minMax"/>
        </c:scaling>
        <c:delete val="0"/>
        <c:axPos val="l"/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微軟正黑體" panose="020B0604030504040204" pitchFamily="34" charset="-120"/>
                <a:cs typeface="+mn-cs"/>
              </a:defRPr>
            </a:pPr>
            <a:endParaRPr lang="en-US"/>
          </a:p>
        </c:txPr>
        <c:crossAx val="6039509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Drop" dropStyle="combo" dx="26" fmlaLink="$C$4" fmlaRange="'Combo Box List'!$A$1:$A$3" noThreeD="1" sel="1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312420</xdr:colOff>
      <xdr:row>2</xdr:row>
      <xdr:rowOff>91440</xdr:rowOff>
    </xdr:from>
    <xdr:to>
      <xdr:col>5</xdr:col>
      <xdr:colOff>289560</xdr:colOff>
      <xdr:row>4</xdr:row>
      <xdr:rowOff>114300</xdr:rowOff>
    </xdr:to>
    <xdr:sp macro="[0]!FundForm" textlink="">
      <xdr:nvSpPr>
        <xdr:cNvPr id="2" name="矩形: 圓角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12420" y="487680"/>
          <a:ext cx="3368040" cy="419100"/>
        </a:xfrm>
        <a:prstGeom prst="roundRect">
          <a:avLst>
            <a:gd name="adj" fmla="val 50000"/>
          </a:avLst>
        </a:prstGeom>
        <a:solidFill>
          <a:schemeClr val="tx2">
            <a:lumMod val="75000"/>
          </a:schemeClr>
        </a:solidFill>
        <a:ln>
          <a:noFill/>
        </a:ln>
        <a:effectLst>
          <a:outerShdw blurRad="50800" dist="38100" dir="5400000" algn="t" rotWithShape="0">
            <a:schemeClr val="tx2">
              <a:lumMod val="50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altLang="zh-TW" sz="2000" b="1">
              <a:latin typeface="Bahnschrift SemiCondensed" panose="020B0502040204020203" pitchFamily="34" charset="0"/>
              <a:ea typeface="微軟正黑體" panose="020B0604030504040204" pitchFamily="34" charset="-120"/>
            </a:rPr>
            <a:t>Fund Management Tool</a:t>
          </a:r>
          <a:endParaRPr lang="zh-TW" altLang="en-US" sz="2000" b="1">
            <a:latin typeface="Bahnschrift SemiCondensed" panose="020B0502040204020203" pitchFamily="34" charset="0"/>
            <a:ea typeface="微軟正黑體" panose="020B0604030504040204" pitchFamily="34" charset="-120"/>
          </a:endParaRPr>
        </a:p>
      </xdr:txBody>
    </xdr:sp>
    <xdr:clientData/>
  </xdr:twoCellAnchor>
  <xdr:twoCellAnchor editAs="oneCell">
    <xdr:from>
      <xdr:col>0</xdr:col>
      <xdr:colOff>66262</xdr:colOff>
      <xdr:row>7</xdr:row>
      <xdr:rowOff>139146</xdr:rowOff>
    </xdr:from>
    <xdr:to>
      <xdr:col>0</xdr:col>
      <xdr:colOff>397566</xdr:colOff>
      <xdr:row>9</xdr:row>
      <xdr:rowOff>72885</xdr:rowOff>
    </xdr:to>
    <xdr:pic>
      <xdr:nvPicPr>
        <xdr:cNvPr id="4" name="Graphic 3" descr="Warning with solid fill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6262" y="1543876"/>
          <a:ext cx="331304" cy="3313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15</xdr:row>
      <xdr:rowOff>45720</xdr:rowOff>
    </xdr:from>
    <xdr:to>
      <xdr:col>10</xdr:col>
      <xdr:colOff>22860</xdr:colOff>
      <xdr:row>27</xdr:row>
      <xdr:rowOff>76200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3810</xdr:colOff>
      <xdr:row>0</xdr:row>
      <xdr:rowOff>0</xdr:rowOff>
    </xdr:from>
    <xdr:to>
      <xdr:col>21</xdr:col>
      <xdr:colOff>179294</xdr:colOff>
      <xdr:row>15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14288</xdr:rowOff>
        </xdr:from>
        <xdr:to>
          <xdr:col>4</xdr:col>
          <xdr:colOff>9525</xdr:colOff>
          <xdr:row>4</xdr:row>
          <xdr:rowOff>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0913C5-05FB-4A9A-BF80-5C1728DE10A1}" name="OG_Expense_daily" displayName="OG_Expense_daily" ref="A1:H3" totalsRowShown="0" headerRowDxfId="75" dataDxfId="74">
  <autoFilter ref="A1:H3" xr:uid="{9C5B0A7D-E47A-4B9A-95D0-43C580C0BFA4}"/>
  <tableColumns count="8">
    <tableColumn id="1" xr3:uid="{E710D04A-5CE3-47BE-83D8-D67D6E1CA4C3}" name="Categories" dataDxfId="73"/>
    <tableColumn id="2" xr3:uid="{57EB6C47-A055-4BCE-B7F3-23D1F7B9D82A}" name="Each day expense in weekday" dataDxfId="72"/>
    <tableColumn id="3" xr3:uid="{1E310727-E917-4335-8B95-CB130C854196}" name="Total in weekday" dataDxfId="71">
      <calculatedColumnFormula>OG_Expense_daily[[#This Row],[Each day expense in weekday]]*5</calculatedColumnFormula>
    </tableColumn>
    <tableColumn id="4" xr3:uid="{C2A80CE8-C049-4410-9A75-BF72AEB56D65}" name="Each day expense in weekend" dataDxfId="70"/>
    <tableColumn id="5" xr3:uid="{C46F4B7C-3A36-460B-A643-05721CB224C9}" name="Total in weekend" dataDxfId="69">
      <calculatedColumnFormula>OG_Expense_daily[[#This Row],[Each day expense in weekend]]*2</calculatedColumnFormula>
    </tableColumn>
    <tableColumn id="6" xr3:uid="{E7478EBB-CACC-4F1D-AE3B-3CE9A11B4F82}" name="Total in 28 days" dataDxfId="68">
      <calculatedColumnFormula>(OG_Expense_daily[[#This Row],[Total in weekday]]+OG_Expense_daily[[#This Row],[Total in weekend]])*4</calculatedColumnFormula>
    </tableColumn>
    <tableColumn id="7" xr3:uid="{95D82EBF-30C3-4290-B157-B978D0599E4C}" name="extra" dataDxfId="67">
      <calculatedColumnFormula>OG_Expense_daily[[#This Row],[Each day expense in weekend]]*3</calculatedColumnFormula>
    </tableColumn>
    <tableColumn id="8" xr3:uid="{0DA06CC3-0437-4426-8AF8-DC84B0774C8A}" name="Total in categories" dataDxfId="66">
      <calculatedColumnFormula>OG_Expense_daily[[#This Row],[Total in 28 days]]+OG_Expense_daily[[#This Row],[extra]]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AA6732C-E944-4D33-8951-E8B14ED9213F}" name="OG_Estimate2" displayName="OG_Estimate2" ref="A1:D3" totalsRowShown="0" headerRowDxfId="65" dataDxfId="64">
  <autoFilter ref="A1:D3" xr:uid="{96AF10CE-61B1-4DBB-93BA-EA51AEFEC7BA}"/>
  <tableColumns count="4">
    <tableColumn id="1" xr3:uid="{EDEA29CB-7338-421B-9C37-F8E692924AB8}" name="Services / Regular Expense" dataDxfId="63"/>
    <tableColumn id="3" xr3:uid="{22987399-DA51-48F2-A0EE-90660B444A6E}" name="Charge period" dataDxfId="62"/>
    <tableColumn id="2" xr3:uid="{F4135EC9-99DE-4EF1-AECB-1020DAE2EBB5}" name="Price" dataDxfId="61"/>
    <tableColumn id="4" xr3:uid="{628F795B-4240-47A1-A28C-0CC08DFB2129}" name="Monthly Price" dataDxfId="60">
      <calculatedColumnFormula>IF(OG_Estimate2[[#This Row],[Charge period]]="Yearly",OG_Estimate2[[#This Row],[Price]]/12,IF(OG_Estimate2[[#This Row],[Charge period]]="Monthly",OG_Estimate2[[#This Row],[Price]],"Invalid Charge Period"))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DD497C8-E961-4A49-8B1A-19E91ADAF86F}" name="LowB_Expense_daily" displayName="LowB_Expense_daily" ref="A1:H3" totalsRowShown="0" headerRowDxfId="59" dataDxfId="58">
  <autoFilter ref="A1:H3" xr:uid="{0DD497C8-E961-4A49-8B1A-19E91ADAF86F}"/>
  <tableColumns count="8">
    <tableColumn id="1" xr3:uid="{5A3C40B6-663D-4232-8D45-F6E7EEF2240D}" name="Categories" dataDxfId="57"/>
    <tableColumn id="2" xr3:uid="{B983E019-27CC-4BD7-A414-CF5A5379FDE5}" name="Each day expense in weekday" dataDxfId="56"/>
    <tableColumn id="3" xr3:uid="{3AAC2AEB-BCEC-45C4-B2CD-32F2E28EC7AD}" name="Total in weekday" dataDxfId="55">
      <calculatedColumnFormula>LowB_Expense_daily[[#This Row],[Each day expense in weekday]]*5</calculatedColumnFormula>
    </tableColumn>
    <tableColumn id="4" xr3:uid="{3D7D9A9F-FD7C-419E-9607-E4F5F780E951}" name="Each day expense in weekend" dataDxfId="54"/>
    <tableColumn id="5" xr3:uid="{12958378-3595-4B14-94E0-54EC880743A7}" name="Total in weekend" dataDxfId="53">
      <calculatedColumnFormula>LowB_Expense_daily[[#This Row],[Each day expense in weekend]]*2</calculatedColumnFormula>
    </tableColumn>
    <tableColumn id="6" xr3:uid="{57277366-5975-4DAF-8067-5636C1F0D44A}" name="Total in 28 days" dataDxfId="52">
      <calculatedColumnFormula>(LowB_Expense_daily[[#This Row],[Total in weekday]]+LowB_Expense_daily[[#This Row],[Total in weekend]])*4</calculatedColumnFormula>
    </tableColumn>
    <tableColumn id="7" xr3:uid="{8AFBEC04-AFC3-41F2-B96A-1B0C1D437AF5}" name="extra" dataDxfId="51">
      <calculatedColumnFormula>LowB_Expense_daily[[#This Row],[Each day expense in weekend]]*3</calculatedColumnFormula>
    </tableColumn>
    <tableColumn id="8" xr3:uid="{8D4D5F57-D675-45B2-B76B-E8CF6357E4C1}" name="Total in categories" dataDxfId="50">
      <calculatedColumnFormula>LowB_Expense_daily[[#This Row],[Total in 28 days]]+LowB_Expense_daily[[#This Row],[extra]]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DB0A844-284B-49CA-8C55-61A7F03B716C}" name="LowB_Estimate" displayName="LowB_Estimate" ref="A1:D3" totalsRowShown="0" headerRowDxfId="49" dataDxfId="48">
  <autoFilter ref="A1:D3" xr:uid="{BDB0A844-284B-49CA-8C55-61A7F03B716C}"/>
  <tableColumns count="4">
    <tableColumn id="1" xr3:uid="{859ABF8E-6FFF-49C5-A15D-9C33AD531B94}" name="Services / Regular Expense" dataDxfId="47"/>
    <tableColumn id="3" xr3:uid="{9A03AF51-79F1-442F-B902-0AE9602A7AD4}" name="Charge period" dataDxfId="46"/>
    <tableColumn id="2" xr3:uid="{A5CEA901-BF2E-405F-B4D9-DE527C2BD135}" name="Price" dataDxfId="45"/>
    <tableColumn id="4" xr3:uid="{4AEB6E0B-9E9E-4B71-9C81-33C156087CEA}" name="Monthly Price" dataDxfId="44">
      <calculatedColumnFormula>IF(LowB_Estimate[[#This Row],[Charge period]]="Yearly",LowB_Estimate[[#This Row],[Price]]/12,IF(LowB_Estimate[[#This Row],[Charge period]]="Monthly",LowB_Estimate[[#This Row],[Price]],"Invalid Charge Period"))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4A4DCE-14AF-4E67-AE46-AFADCC008268}" name="Min_Expense_daily" displayName="Min_Expense_daily" ref="A1:H3" totalsRowShown="0" headerRowDxfId="43" dataDxfId="42">
  <autoFilter ref="A1:H3" xr:uid="{9C5B0A7D-E47A-4B9A-95D0-43C580C0BFA4}"/>
  <tableColumns count="8">
    <tableColumn id="1" xr3:uid="{0F827449-EA5A-4C91-A758-9E0871F0D85E}" name="Categories" dataDxfId="41"/>
    <tableColumn id="2" xr3:uid="{6E92F49E-3133-41F2-8DBE-4394DA5AF842}" name="Each day expense in weekday" dataDxfId="40"/>
    <tableColumn id="3" xr3:uid="{26C4D026-29F4-4218-84A3-674A5079A540}" name="Total in weekday" dataDxfId="39">
      <calculatedColumnFormula>Min_Expense_daily[[#This Row],[Each day expense in weekday]]*5</calculatedColumnFormula>
    </tableColumn>
    <tableColumn id="4" xr3:uid="{09A913D4-8BBF-4243-8CC5-CCB42EE3A2BD}" name="Each day expense in weekend" dataDxfId="38"/>
    <tableColumn id="5" xr3:uid="{D6761BDA-7717-4752-ADC3-172FF1DE431C}" name="Total in weekend" dataDxfId="37">
      <calculatedColumnFormula>Min_Expense_daily[[#This Row],[Each day expense in weekend]]*2</calculatedColumnFormula>
    </tableColumn>
    <tableColumn id="6" xr3:uid="{82DF4B9C-6646-4103-94D7-A85BBB760BCD}" name="Total in 28 days" dataDxfId="36">
      <calculatedColumnFormula>(Min_Expense_daily[[#This Row],[Total in weekday]]+Min_Expense_daily[[#This Row],[Total in weekend]])*4</calculatedColumnFormula>
    </tableColumn>
    <tableColumn id="7" xr3:uid="{A8354976-77F0-46E1-AE67-9F79597CC71D}" name="extra" dataDxfId="35">
      <calculatedColumnFormula>Min_Expense_daily[[#This Row],[Each day expense in weekend]]*3</calculatedColumnFormula>
    </tableColumn>
    <tableColumn id="8" xr3:uid="{5C7FA785-9C12-41CB-A1A2-CB6E9E09367A}" name="Total in categories" dataDxfId="34">
      <calculatedColumnFormula>Min_Expense_daily[[#This Row],[Total in 28 days]]+Min_Expense_daily[[#This Row],[extra]]</calculatedColumnFormula>
    </tableColumn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803B1CA-6AA2-4A5E-8E05-1FF51AF24BB0}" name="Min_Subscription" displayName="Min_Subscription" ref="A1:D3" totalsRowShown="0" headerRowDxfId="33" dataDxfId="32">
  <autoFilter ref="A1:D3" xr:uid="{96AF10CE-61B1-4DBB-93BA-EA51AEFEC7BA}"/>
  <tableColumns count="4">
    <tableColumn id="1" xr3:uid="{2F21CB1B-334B-4DD3-864D-882E3DEB6E70}" name="Services / Regular Expense" dataDxfId="31"/>
    <tableColumn id="3" xr3:uid="{4F241AAC-8149-410E-83F9-396B5F8BEE5C}" name="Charge period" dataDxfId="30"/>
    <tableColumn id="2" xr3:uid="{9ABF898F-F7CA-40B7-88ED-26EB30108256}" name="Price" dataDxfId="29"/>
    <tableColumn id="4" xr3:uid="{B2077770-2874-407E-BA81-3BE6C660F0CB}" name="Monthly Price" dataDxfId="28">
      <calculatedColumnFormula>IF(Min_Subscription[[#This Row],[Charge period]]="Yearly",Min_Subscription[[#This Row],[Price]]/12,IF(Min_Subscription[[#This Row],[Charge period]]="Monthly",Min_Subscription[[#This Row],[Price]],"Invalid Charge Period"))</calculatedColumnFormula>
    </tableColumn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C3961E4-F5A1-4E49-99D7-15335261944B}" name="Day_off" displayName="Day_off" ref="A1:F5" totalsRowShown="0" headerRowDxfId="27" dataDxfId="26">
  <autoFilter ref="A1:F5" xr:uid="{5C3961E4-F5A1-4E49-99D7-15335261944B}"/>
  <tableColumns count="6">
    <tableColumn id="1" xr3:uid="{AB20DB4D-07DC-430D-BFEE-3C844C2506CA}" name="Date" dataDxfId="25"/>
    <tableColumn id="2" xr3:uid="{F9E1CF2A-C1A0-466F-82C3-867CC37B15FC}" name="Public Transport" dataDxfId="24"/>
    <tableColumn id="3" xr3:uid="{F778EB84-FC3F-4846-9D3B-D4BAF873149C}" name="Taxi/Uber" dataDxfId="23"/>
    <tableColumn id="4" xr3:uid="{889D5674-AA7E-414A-AEAC-490434F7A38E}" name="Food and Snacks" dataDxfId="22"/>
    <tableColumn id="5" xr3:uid="{7BABC851-CFAD-4843-93FB-F18E2CECC512}" name="Drink" dataDxfId="21"/>
    <tableColumn id="6" xr3:uid="{1A05D3B1-2CE7-45E2-9E5F-D35BA7B70FDA}" name="Total Spending" dataDxfId="20">
      <calculatedColumnFormula>SUM(Day_off[[#This Row],[Public Transport]:[Drink]])</calculatedColumnFormula>
    </tableColumn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6ACED63-E3F3-4280-A7BC-ACC3E4307C8C}" name="Inventory_list" displayName="Inventory_list" ref="A1:I4" totalsRowShown="0" headerRowDxfId="19" dataDxfId="18">
  <autoFilter ref="A1:I4" xr:uid="{FB35E926-B79D-4CAA-9C32-E74B8396CB50}"/>
  <tableColumns count="9">
    <tableColumn id="2" xr3:uid="{08C821D0-8FE4-4677-983E-F11FA0F7FC84}" name="Price" dataDxfId="17"/>
    <tableColumn id="4" xr3:uid="{6054BCA8-10A2-46F3-85F3-15FC9D79D8DA}" name="Total day of ownership" dataDxfId="16">
      <calculatedColumnFormula>_xlfn.DAYS(TODAY(),Inventory_list[[#This Row],[Date of buying]])</calculatedColumnFormula>
    </tableColumn>
    <tableColumn id="7" xr3:uid="{9EBEDF84-251A-458F-8F58-3B9D93D96C6C}" name="Brand" dataDxfId="15"/>
    <tableColumn id="1" xr3:uid="{6199E006-8F3F-4E59-A503-A5DCE62E7294}" name="Item Name" dataDxfId="14"/>
    <tableColumn id="3" xr3:uid="{E724AB02-E3A7-407C-940C-97D2F3DEC65C}" name="Date of buying" dataDxfId="13"/>
    <tableColumn id="8" xr3:uid="{30959C17-7375-4527-B3D4-D05094301C6B}" name="Warranty" dataDxfId="12"/>
    <tableColumn id="9" xr3:uid="{897DC5F0-07E3-40B9-A604-A741B7F6E2AD}" name="(Useless Field)" dataDxfId="11"/>
    <tableColumn id="6" xr3:uid="{F4BDCAFB-C9A7-46CF-BCC7-4C05A756D3D1}" name="Serial No" dataDxfId="10"/>
    <tableColumn id="5" xr3:uid="{CC778A85-1ED2-4D41-85DF-6CBC687C34B9}" name="Notes" dataDxfId="9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9EC3EDC-A826-4E3F-BF1C-130C8C2572E8}" name="obsolete_list" displayName="obsolete_list" ref="A1:G2" totalsRowShown="0" headerRowDxfId="8" dataDxfId="7">
  <autoFilter ref="A1:G2" xr:uid="{FB35E926-B79D-4CAA-9C32-E74B8396CB50}"/>
  <tableColumns count="7">
    <tableColumn id="2" xr3:uid="{1EBA22E2-10F9-4EBA-B72F-20EE250CBE80}" name="Price" dataDxfId="6"/>
    <tableColumn id="9" xr3:uid="{9BF8CC39-2C41-42DB-94E4-1C4ED08778EA}" name="No. of day owned" dataDxfId="5">
      <calculatedColumnFormula>obsolete_list[[#This Row],[Date of obsolete]]-obsolete_list[[#This Row],[Date of buying]]</calculatedColumnFormula>
    </tableColumn>
    <tableColumn id="7" xr3:uid="{8020634A-6831-4E8B-B493-82F72ED80253}" name="Brand" dataDxfId="4"/>
    <tableColumn id="1" xr3:uid="{D7E43735-29A2-43A2-8348-9FA6D4199E95}" name="Item Name" dataDxfId="3"/>
    <tableColumn id="3" xr3:uid="{49D3A5A6-E923-49B7-A142-E86FA0F0399C}" name="Date of buying" dataDxfId="2"/>
    <tableColumn id="8" xr3:uid="{F2412D8A-EDCA-42F7-BF69-0C228C113210}" name="Date of obsolete" dataDxfId="1"/>
    <tableColumn id="5" xr3:uid="{912D391D-2FFB-4BBA-BDC6-CA06FEC12B92}" name="Notes" dataDxfId="0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8F0C94E-1658-41AB-83DF-A2F6ED377B5B}" name="表格11" displayName="表格11" ref="A1:C3" totalsRowShown="0">
  <autoFilter ref="A1:C3" xr:uid="{68F0C94E-1658-41AB-83DF-A2F6ED377B5B}"/>
  <tableColumns count="3">
    <tableColumn id="1" xr3:uid="{A16A2FD0-4EF6-4A04-B934-F3A1BE54E951}" name="Name"/>
    <tableColumn id="2" xr3:uid="{8D889A29-2829-4C1E-843F-5645FC610C12}" name="Desc"/>
    <tableColumn id="3" xr3:uid="{DF07BDFC-60FA-438C-B799-190104C6D25C}" name="Amount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0A201-9258-4C19-9021-90ABE0DBA399}">
  <sheetPr codeName="工作表1">
    <tabColor theme="5" tint="-0.499984740745262"/>
  </sheetPr>
  <dimension ref="A1:I11"/>
  <sheetViews>
    <sheetView tabSelected="1" zoomScale="114" zoomScaleNormal="115" workbookViewId="0">
      <selection activeCell="G1" sqref="G1"/>
    </sheetView>
  </sheetViews>
  <sheetFormatPr defaultColWidth="8.875" defaultRowHeight="15.4"/>
  <cols>
    <col min="1" max="16384" width="8.875" style="1"/>
  </cols>
  <sheetData>
    <row r="1" spans="1:9">
      <c r="A1" s="63" t="s">
        <v>68</v>
      </c>
      <c r="B1" s="63"/>
      <c r="C1" s="63"/>
      <c r="D1" s="63"/>
      <c r="E1" s="63"/>
      <c r="F1" s="63"/>
    </row>
    <row r="2" spans="1:9" ht="15.75" thickBot="1">
      <c r="A2" s="64"/>
      <c r="B2" s="64"/>
      <c r="C2" s="64"/>
      <c r="D2" s="64"/>
      <c r="E2" s="64"/>
      <c r="F2" s="64"/>
    </row>
    <row r="3" spans="1:9" ht="15.75" thickTop="1">
      <c r="A3" s="2"/>
      <c r="B3" s="2"/>
      <c r="C3" s="2"/>
      <c r="D3" s="2"/>
      <c r="E3" s="2"/>
      <c r="F3" s="2"/>
      <c r="I3" s="54"/>
    </row>
    <row r="4" spans="1:9">
      <c r="A4" s="2"/>
      <c r="B4" s="2"/>
      <c r="C4" s="2"/>
      <c r="D4" s="2"/>
      <c r="E4" s="2"/>
      <c r="F4" s="2"/>
    </row>
    <row r="5" spans="1:9">
      <c r="A5" s="2"/>
      <c r="B5" s="2"/>
      <c r="C5" s="2"/>
      <c r="D5" s="2"/>
      <c r="E5" s="2"/>
      <c r="F5" s="2"/>
    </row>
    <row r="6" spans="1:9">
      <c r="A6" s="65" t="s">
        <v>72</v>
      </c>
      <c r="B6" s="65"/>
      <c r="C6" s="65"/>
      <c r="D6" s="67">
        <v>44707.818564814814</v>
      </c>
      <c r="E6" s="67"/>
      <c r="F6" s="67"/>
    </row>
    <row r="7" spans="1:9" ht="15.75" thickBot="1">
      <c r="A7" s="66"/>
      <c r="B7" s="66"/>
      <c r="C7" s="66"/>
      <c r="D7" s="68"/>
      <c r="E7" s="68"/>
      <c r="F7" s="68"/>
    </row>
    <row r="8" spans="1:9" ht="15.6" customHeight="1" thickTop="1">
      <c r="A8" s="72" t="s">
        <v>87</v>
      </c>
      <c r="B8" s="72"/>
      <c r="C8" s="69" t="s">
        <v>88</v>
      </c>
      <c r="D8" s="69"/>
      <c r="E8" s="69"/>
      <c r="F8" s="69"/>
    </row>
    <row r="9" spans="1:9" ht="15.6" customHeight="1">
      <c r="A9" s="73"/>
      <c r="B9" s="73"/>
      <c r="C9" s="70"/>
      <c r="D9" s="70"/>
      <c r="E9" s="70"/>
      <c r="F9" s="70"/>
    </row>
    <row r="10" spans="1:9" ht="15.75" thickBot="1">
      <c r="A10" s="74"/>
      <c r="B10" s="74"/>
      <c r="C10" s="71"/>
      <c r="D10" s="71"/>
      <c r="E10" s="71"/>
      <c r="F10" s="71"/>
    </row>
    <row r="11" spans="1:9" ht="15.75" thickTop="1"/>
  </sheetData>
  <mergeCells count="5">
    <mergeCell ref="A1:F2"/>
    <mergeCell ref="A6:C7"/>
    <mergeCell ref="D6:F7"/>
    <mergeCell ref="C8:F10"/>
    <mergeCell ref="A8:B10"/>
  </mergeCells>
  <phoneticPr fontId="2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4AFB7-E75B-4C6D-86A2-DEBFB9531978}">
  <sheetPr codeName="Sheet1">
    <tabColor theme="1" tint="4.9989318521683403E-2"/>
  </sheetPr>
  <dimension ref="A3:B6"/>
  <sheetViews>
    <sheetView workbookViewId="0"/>
  </sheetViews>
  <sheetFormatPr defaultColWidth="8.8125" defaultRowHeight="15"/>
  <cols>
    <col min="1" max="16384" width="8.8125" style="4"/>
  </cols>
  <sheetData>
    <row r="3" spans="1:2">
      <c r="A3" s="7"/>
      <c r="B3" s="8"/>
    </row>
    <row r="4" spans="1:2">
      <c r="A4" s="7"/>
      <c r="B4" s="8"/>
    </row>
    <row r="5" spans="1:2">
      <c r="A5" s="7"/>
      <c r="B5" s="8"/>
    </row>
    <row r="6" spans="1:2">
      <c r="A6" s="7"/>
    </row>
  </sheetData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8D23E-9E05-4AAB-9D0D-F38780B631D1}">
  <sheetPr codeName="工作表2">
    <tabColor theme="9" tint="0.39997558519241921"/>
  </sheetPr>
  <dimension ref="A1:H3"/>
  <sheetViews>
    <sheetView workbookViewId="0">
      <selection activeCell="A2" sqref="A2"/>
    </sheetView>
  </sheetViews>
  <sheetFormatPr defaultColWidth="8.8125" defaultRowHeight="17.25"/>
  <cols>
    <col min="1" max="1" width="16.625" style="5" bestFit="1" customWidth="1"/>
    <col min="2" max="2" width="33.875" style="5" bestFit="1" customWidth="1"/>
    <col min="3" max="3" width="20.375" style="5" bestFit="1" customWidth="1"/>
    <col min="4" max="4" width="34.125" style="5" bestFit="1" customWidth="1"/>
    <col min="5" max="5" width="20.625" style="5" bestFit="1" customWidth="1"/>
    <col min="6" max="6" width="19.3125" style="5" bestFit="1" customWidth="1"/>
    <col min="7" max="7" width="10.125" style="5" bestFit="1" customWidth="1"/>
    <col min="8" max="8" width="22.3125" style="5" bestFit="1" customWidth="1"/>
    <col min="9" max="9" width="8.8125" style="5"/>
    <col min="10" max="10" width="31.125" style="5" bestFit="1" customWidth="1"/>
    <col min="11" max="11" width="10.8125" style="5" bestFit="1" customWidth="1"/>
    <col min="12" max="16384" width="8.8125" style="5"/>
  </cols>
  <sheetData>
    <row r="1" spans="1:8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</row>
    <row r="2" spans="1:8">
      <c r="A2" s="5" t="s">
        <v>8</v>
      </c>
      <c r="B2" s="6">
        <v>100</v>
      </c>
      <c r="C2" s="6">
        <f>OG_Expense_daily[[#This Row],[Each day expense in weekday]]*5</f>
        <v>500</v>
      </c>
      <c r="D2" s="6">
        <v>100</v>
      </c>
      <c r="E2" s="6">
        <f>OG_Expense_daily[[#This Row],[Each day expense in weekend]]*2</f>
        <v>200</v>
      </c>
      <c r="F2" s="6">
        <f>(OG_Expense_daily[[#This Row],[Total in weekday]]+OG_Expense_daily[[#This Row],[Total in weekend]])*4</f>
        <v>2800</v>
      </c>
      <c r="G2" s="6">
        <f>OG_Expense_daily[[#This Row],[Each day expense in weekend]]*3</f>
        <v>300</v>
      </c>
      <c r="H2" s="6">
        <f>OG_Expense_daily[[#This Row],[Total in 28 days]]+OG_Expense_daily[[#This Row],[extra]]</f>
        <v>3100</v>
      </c>
    </row>
    <row r="3" spans="1:8">
      <c r="A3" s="5" t="s">
        <v>9</v>
      </c>
      <c r="B3" s="6">
        <v>40</v>
      </c>
      <c r="C3" s="6">
        <f>OG_Expense_daily[[#This Row],[Each day expense in weekday]]*5</f>
        <v>200</v>
      </c>
      <c r="D3" s="6">
        <v>40</v>
      </c>
      <c r="E3" s="6">
        <f>OG_Expense_daily[[#This Row],[Each day expense in weekend]]*2</f>
        <v>80</v>
      </c>
      <c r="F3" s="6">
        <f>(OG_Expense_daily[[#This Row],[Total in weekday]]+OG_Expense_daily[[#This Row],[Total in weekend]])*4</f>
        <v>1120</v>
      </c>
      <c r="G3" s="6">
        <f>OG_Expense_daily[[#This Row],[Each day expense in weekend]]*3</f>
        <v>120</v>
      </c>
      <c r="H3" s="6">
        <f>OG_Expense_daily[[#This Row],[Total in 28 days]]+OG_Expense_daily[[#This Row],[extra]]</f>
        <v>1240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88A35-261A-41E5-8F7C-7EDF782E82F1}">
  <sheetPr codeName="工作表3">
    <tabColor theme="9" tint="0.39997558519241921"/>
  </sheetPr>
  <dimension ref="A1:D3"/>
  <sheetViews>
    <sheetView workbookViewId="0">
      <selection activeCell="A2" sqref="A2"/>
    </sheetView>
  </sheetViews>
  <sheetFormatPr defaultColWidth="8.8125" defaultRowHeight="17.25"/>
  <cols>
    <col min="1" max="1" width="32.125" style="5" bestFit="1" customWidth="1"/>
    <col min="2" max="2" width="17.6875" style="5" bestFit="1" customWidth="1"/>
    <col min="3" max="3" width="15.3125" style="5" bestFit="1" customWidth="1"/>
    <col min="4" max="4" width="17.375" style="5" bestFit="1" customWidth="1"/>
    <col min="5" max="16384" width="8.8125" style="5"/>
  </cols>
  <sheetData>
    <row r="1" spans="1:4">
      <c r="A1" s="5" t="s">
        <v>34</v>
      </c>
      <c r="B1" s="5" t="s">
        <v>31</v>
      </c>
      <c r="C1" s="5" t="s">
        <v>94</v>
      </c>
      <c r="D1" s="5" t="s">
        <v>32</v>
      </c>
    </row>
    <row r="2" spans="1:4">
      <c r="A2" s="5" t="s">
        <v>73</v>
      </c>
      <c r="B2" s="5" t="s">
        <v>33</v>
      </c>
      <c r="C2" s="6">
        <v>68</v>
      </c>
      <c r="D2" s="6">
        <f>IF(OG_Estimate2[[#This Row],[Charge period]]="Yearly",OG_Estimate2[[#This Row],[Price]]/12,IF(OG_Estimate2[[#This Row],[Charge period]]="Monthly",OG_Estimate2[[#This Row],[Price]],"Invalid Charge Period"))</f>
        <v>68</v>
      </c>
    </row>
    <row r="3" spans="1:4">
      <c r="A3" s="5" t="s">
        <v>74</v>
      </c>
      <c r="B3" s="5" t="s">
        <v>42</v>
      </c>
      <c r="C3" s="6">
        <v>680</v>
      </c>
      <c r="D3" s="6">
        <f>IF(OG_Estimate2[[#This Row],[Charge period]]="Yearly",OG_Estimate2[[#This Row],[Price]]/12,IF(OG_Estimate2[[#This Row],[Charge period]]="Monthly",OG_Estimate2[[#This Row],[Price]],"Invalid Charge Period"))</f>
        <v>56.666666666666664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8BBED-F027-436C-90EC-D5FF4E620A1B}">
  <sheetPr codeName="工作表4">
    <tabColor theme="7" tint="0.59999389629810485"/>
  </sheetPr>
  <dimension ref="A1:H3"/>
  <sheetViews>
    <sheetView workbookViewId="0">
      <selection activeCell="A2" sqref="A2"/>
    </sheetView>
  </sheetViews>
  <sheetFormatPr defaultColWidth="8.8125" defaultRowHeight="17.25"/>
  <cols>
    <col min="1" max="1" width="16.625" style="5" bestFit="1" customWidth="1"/>
    <col min="2" max="2" width="33.875" style="5" bestFit="1" customWidth="1"/>
    <col min="3" max="3" width="20.375" style="5" bestFit="1" customWidth="1"/>
    <col min="4" max="4" width="34.125" style="5" bestFit="1" customWidth="1"/>
    <col min="5" max="5" width="20.625" style="5" bestFit="1" customWidth="1"/>
    <col min="6" max="6" width="19.3125" style="5" bestFit="1" customWidth="1"/>
    <col min="7" max="7" width="10.125" style="5" bestFit="1" customWidth="1"/>
    <col min="8" max="8" width="22.3125" style="5" bestFit="1" customWidth="1"/>
    <col min="9" max="16384" width="8.8125" style="5"/>
  </cols>
  <sheetData>
    <row r="1" spans="1:8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</row>
    <row r="2" spans="1:8">
      <c r="A2" s="5" t="s">
        <v>8</v>
      </c>
      <c r="B2" s="6">
        <v>80</v>
      </c>
      <c r="C2" s="6">
        <f>LowB_Expense_daily[[#This Row],[Each day expense in weekday]]*5</f>
        <v>400</v>
      </c>
      <c r="D2" s="6">
        <v>80</v>
      </c>
      <c r="E2" s="6">
        <f>LowB_Expense_daily[[#This Row],[Each day expense in weekend]]*2</f>
        <v>160</v>
      </c>
      <c r="F2" s="6">
        <f>(LowB_Expense_daily[[#This Row],[Total in weekday]]+LowB_Expense_daily[[#This Row],[Total in weekend]])*4</f>
        <v>2240</v>
      </c>
      <c r="G2" s="6">
        <f>LowB_Expense_daily[[#This Row],[Each day expense in weekend]]*3</f>
        <v>240</v>
      </c>
      <c r="H2" s="6">
        <f>LowB_Expense_daily[[#This Row],[Total in 28 days]]+LowB_Expense_daily[[#This Row],[extra]]</f>
        <v>2480</v>
      </c>
    </row>
    <row r="3" spans="1:8">
      <c r="A3" s="5" t="s">
        <v>9</v>
      </c>
      <c r="B3" s="6">
        <v>30</v>
      </c>
      <c r="C3" s="6">
        <f>LowB_Expense_daily[[#This Row],[Each day expense in weekday]]*5</f>
        <v>150</v>
      </c>
      <c r="D3" s="6">
        <v>30</v>
      </c>
      <c r="E3" s="6">
        <f>LowB_Expense_daily[[#This Row],[Each day expense in weekend]]*2</f>
        <v>60</v>
      </c>
      <c r="F3" s="6">
        <f>(LowB_Expense_daily[[#This Row],[Total in weekday]]+LowB_Expense_daily[[#This Row],[Total in weekend]])*4</f>
        <v>840</v>
      </c>
      <c r="G3" s="6">
        <f>LowB_Expense_daily[[#This Row],[Each day expense in weekend]]*3</f>
        <v>90</v>
      </c>
      <c r="H3" s="6">
        <f>LowB_Expense_daily[[#This Row],[Total in 28 days]]+LowB_Expense_daily[[#This Row],[extra]]</f>
        <v>930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A82B4-B68F-45B1-BD3F-8D5982C59F0B}">
  <sheetPr codeName="工作表5">
    <tabColor theme="7" tint="0.59999389629810485"/>
  </sheetPr>
  <dimension ref="A1:D3"/>
  <sheetViews>
    <sheetView workbookViewId="0">
      <selection activeCell="A2" sqref="A2"/>
    </sheetView>
  </sheetViews>
  <sheetFormatPr defaultColWidth="8.8125" defaultRowHeight="17.25"/>
  <cols>
    <col min="1" max="1" width="34.375" style="5" bestFit="1" customWidth="1"/>
    <col min="2" max="2" width="17.6875" style="5" bestFit="1" customWidth="1"/>
    <col min="3" max="3" width="15.3125" style="5" bestFit="1" customWidth="1"/>
    <col min="4" max="4" width="17.375" style="5" bestFit="1" customWidth="1"/>
    <col min="5" max="16384" width="8.8125" style="5"/>
  </cols>
  <sheetData>
    <row r="1" spans="1:4">
      <c r="A1" s="5" t="s">
        <v>34</v>
      </c>
      <c r="B1" s="5" t="s">
        <v>31</v>
      </c>
      <c r="C1" s="5" t="s">
        <v>94</v>
      </c>
      <c r="D1" s="5" t="s">
        <v>32</v>
      </c>
    </row>
    <row r="2" spans="1:4">
      <c r="A2" s="5" t="s">
        <v>75</v>
      </c>
      <c r="B2" s="5" t="s">
        <v>33</v>
      </c>
      <c r="C2" s="6">
        <v>50</v>
      </c>
      <c r="D2" s="6">
        <f>IF(LowB_Estimate[[#This Row],[Charge period]]="Yearly",LowB_Estimate[[#This Row],[Price]]/12,IF(LowB_Estimate[[#This Row],[Charge period]]="Monthly",LowB_Estimate[[#This Row],[Price]],"Invalid Charge Period"))</f>
        <v>50</v>
      </c>
    </row>
    <row r="3" spans="1:4">
      <c r="A3" s="5" t="s">
        <v>76</v>
      </c>
      <c r="B3" s="5" t="s">
        <v>42</v>
      </c>
      <c r="C3" s="6">
        <v>500</v>
      </c>
      <c r="D3" s="6">
        <f>IF(LowB_Estimate[[#This Row],[Charge period]]="Yearly",LowB_Estimate[[#This Row],[Price]]/12,IF(LowB_Estimate[[#This Row],[Charge period]]="Monthly",LowB_Estimate[[#This Row],[Price]],"Invalid Charge Period"))</f>
        <v>41.666666666666664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0D367-9199-4DF5-B45F-1DA2591F03BE}">
  <sheetPr codeName="工作表6">
    <tabColor theme="5" tint="0.39997558519241921"/>
  </sheetPr>
  <dimension ref="A1:H3"/>
  <sheetViews>
    <sheetView workbookViewId="0">
      <selection activeCell="A2" sqref="A2"/>
    </sheetView>
  </sheetViews>
  <sheetFormatPr defaultColWidth="8.8125" defaultRowHeight="17.25"/>
  <cols>
    <col min="1" max="1" width="16.625" style="5" bestFit="1" customWidth="1"/>
    <col min="2" max="2" width="33.875" style="5" bestFit="1" customWidth="1"/>
    <col min="3" max="3" width="20.375" style="5" bestFit="1" customWidth="1"/>
    <col min="4" max="4" width="34.125" style="5" bestFit="1" customWidth="1"/>
    <col min="5" max="5" width="20.625" style="5" bestFit="1" customWidth="1"/>
    <col min="6" max="6" width="19.3125" style="5" bestFit="1" customWidth="1"/>
    <col min="7" max="7" width="10.125" style="5" bestFit="1" customWidth="1"/>
    <col min="8" max="8" width="22.3125" style="5" bestFit="1" customWidth="1"/>
    <col min="9" max="9" width="8.8125" style="5"/>
    <col min="10" max="10" width="31.125" style="5" bestFit="1" customWidth="1"/>
    <col min="11" max="11" width="10.875" style="5" bestFit="1" customWidth="1"/>
    <col min="12" max="12" width="35.125" style="5" bestFit="1" customWidth="1"/>
    <col min="13" max="13" width="16.125" style="5" bestFit="1" customWidth="1"/>
    <col min="14" max="16384" width="8.8125" style="5"/>
  </cols>
  <sheetData>
    <row r="1" spans="1:8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</row>
    <row r="2" spans="1:8">
      <c r="A2" s="5" t="s">
        <v>8</v>
      </c>
      <c r="B2" s="6">
        <v>60</v>
      </c>
      <c r="C2" s="6">
        <f>Min_Expense_daily[[#This Row],[Each day expense in weekday]]*5</f>
        <v>300</v>
      </c>
      <c r="D2" s="6">
        <v>60</v>
      </c>
      <c r="E2" s="6">
        <f>Min_Expense_daily[[#This Row],[Each day expense in weekend]]*2</f>
        <v>120</v>
      </c>
      <c r="F2" s="6">
        <f>(Min_Expense_daily[[#This Row],[Total in weekday]]+Min_Expense_daily[[#This Row],[Total in weekend]])*4</f>
        <v>1680</v>
      </c>
      <c r="G2" s="6">
        <f>Min_Expense_daily[[#This Row],[Each day expense in weekend]]*3</f>
        <v>180</v>
      </c>
      <c r="H2" s="6">
        <f>Min_Expense_daily[[#This Row],[Total in 28 days]]+Min_Expense_daily[[#This Row],[extra]]</f>
        <v>1860</v>
      </c>
    </row>
    <row r="3" spans="1:8">
      <c r="A3" s="5" t="s">
        <v>9</v>
      </c>
      <c r="B3" s="6">
        <v>20</v>
      </c>
      <c r="C3" s="6">
        <f>Min_Expense_daily[[#This Row],[Each day expense in weekday]]*5</f>
        <v>100</v>
      </c>
      <c r="D3" s="6">
        <v>20</v>
      </c>
      <c r="E3" s="6">
        <f>Min_Expense_daily[[#This Row],[Each day expense in weekend]]*2</f>
        <v>40</v>
      </c>
      <c r="F3" s="6">
        <f>(Min_Expense_daily[[#This Row],[Total in weekday]]+Min_Expense_daily[[#This Row],[Total in weekend]])*4</f>
        <v>560</v>
      </c>
      <c r="G3" s="6">
        <f>Min_Expense_daily[[#This Row],[Each day expense in weekend]]*3</f>
        <v>60</v>
      </c>
      <c r="H3" s="6">
        <f>Min_Expense_daily[[#This Row],[Total in 28 days]]+Min_Expense_daily[[#This Row],[extra]]</f>
        <v>620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6F089-721E-49F7-A121-EA8328C45D87}">
  <sheetPr codeName="工作表7">
    <tabColor theme="5" tint="0.39997558519241921"/>
  </sheetPr>
  <dimension ref="A1:D3"/>
  <sheetViews>
    <sheetView workbookViewId="0">
      <selection activeCell="A2" sqref="A2"/>
    </sheetView>
  </sheetViews>
  <sheetFormatPr defaultColWidth="8.8125" defaultRowHeight="17.25"/>
  <cols>
    <col min="1" max="1" width="35.375" style="5" bestFit="1" customWidth="1"/>
    <col min="2" max="2" width="17.6875" style="5" bestFit="1" customWidth="1"/>
    <col min="3" max="3" width="15.3125" style="5" bestFit="1" customWidth="1"/>
    <col min="4" max="4" width="17.375" style="5" bestFit="1" customWidth="1"/>
    <col min="5" max="16384" width="8.8125" style="5"/>
  </cols>
  <sheetData>
    <row r="1" spans="1:4">
      <c r="A1" s="5" t="s">
        <v>34</v>
      </c>
      <c r="B1" s="5" t="s">
        <v>31</v>
      </c>
      <c r="C1" s="5" t="s">
        <v>94</v>
      </c>
      <c r="D1" s="5" t="s">
        <v>32</v>
      </c>
    </row>
    <row r="2" spans="1:4">
      <c r="A2" s="5" t="s">
        <v>77</v>
      </c>
      <c r="B2" s="5" t="s">
        <v>33</v>
      </c>
      <c r="C2" s="6">
        <v>40</v>
      </c>
      <c r="D2" s="6">
        <f>IF(Min_Subscription[[#This Row],[Charge period]]="Yearly",Min_Subscription[[#This Row],[Price]]/12,IF(Min_Subscription[[#This Row],[Charge period]]="Monthly",Min_Subscription[[#This Row],[Price]],"Invalid Charge Period"))</f>
        <v>40</v>
      </c>
    </row>
    <row r="3" spans="1:4">
      <c r="A3" s="5" t="s">
        <v>78</v>
      </c>
      <c r="B3" s="5" t="s">
        <v>41</v>
      </c>
      <c r="C3" s="6">
        <v>400</v>
      </c>
      <c r="D3" s="6">
        <f>IF(Min_Subscription[[#This Row],[Charge period]]="Yearly",Min_Subscription[[#This Row],[Price]]/12,IF(Min_Subscription[[#This Row],[Charge period]]="Monthly",Min_Subscription[[#This Row],[Price]],"Invalid Charge Period"))</f>
        <v>33.333333333333336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6FD9A-00E7-4E13-9F6B-33CA21E1D6D7}">
  <sheetPr codeName="工作表8">
    <tabColor theme="3" tint="0.59999389629810485"/>
  </sheetPr>
  <dimension ref="A1:F4"/>
  <sheetViews>
    <sheetView zoomScale="115" zoomScaleNormal="115" workbookViewId="0">
      <selection activeCell="G1" sqref="G1"/>
    </sheetView>
  </sheetViews>
  <sheetFormatPr defaultColWidth="8.8125" defaultRowHeight="15"/>
  <cols>
    <col min="1" max="1" width="28.125" style="4" bestFit="1" customWidth="1"/>
    <col min="2" max="2" width="9.625" style="4" bestFit="1" customWidth="1"/>
    <col min="3" max="3" width="28.125" style="4" bestFit="1" customWidth="1"/>
    <col min="4" max="4" width="9.625" style="4" bestFit="1" customWidth="1"/>
    <col min="5" max="5" width="28.125" style="4" bestFit="1" customWidth="1"/>
    <col min="6" max="6" width="9.625" style="4" bestFit="1" customWidth="1"/>
    <col min="7" max="16384" width="8.8125" style="4"/>
  </cols>
  <sheetData>
    <row r="1" spans="1:6" ht="16.25" customHeight="1" thickBot="1">
      <c r="A1" s="75" t="s">
        <v>20</v>
      </c>
      <c r="B1" s="75"/>
      <c r="C1" s="76" t="s">
        <v>39</v>
      </c>
      <c r="D1" s="76"/>
      <c r="E1" s="77" t="s">
        <v>38</v>
      </c>
      <c r="F1" s="77"/>
    </row>
    <row r="2" spans="1:6" ht="15.4" thickTop="1">
      <c r="A2" s="51" t="s">
        <v>35</v>
      </c>
      <c r="B2" s="18">
        <f>SUM(OG_Expense_daily[Total in categories])</f>
        <v>4340</v>
      </c>
      <c r="C2" s="52" t="s">
        <v>36</v>
      </c>
      <c r="D2" s="19">
        <f>SUM(LowB_Expense_daily[Total in categories])</f>
        <v>3410</v>
      </c>
      <c r="E2" s="53" t="s">
        <v>36</v>
      </c>
      <c r="F2" s="20">
        <f>SUM(Min_Expense_daily[Total in categories])</f>
        <v>2480</v>
      </c>
    </row>
    <row r="3" spans="1:6">
      <c r="A3" s="51" t="s">
        <v>37</v>
      </c>
      <c r="B3" s="18">
        <f>SUM(OG_Estimate2[Monthly Price])</f>
        <v>124.66666666666666</v>
      </c>
      <c r="C3" s="52" t="s">
        <v>37</v>
      </c>
      <c r="D3" s="19">
        <f>SUM(LowB_Estimate[Monthly Price])</f>
        <v>91.666666666666657</v>
      </c>
      <c r="E3" s="53" t="s">
        <v>37</v>
      </c>
      <c r="F3" s="20">
        <f>SUM(Min_Subscription[Monthly Price])</f>
        <v>73.333333333333343</v>
      </c>
    </row>
    <row r="4" spans="1:6">
      <c r="A4" s="51" t="s">
        <v>71</v>
      </c>
      <c r="B4" s="18">
        <f>SUM(B2:B3)</f>
        <v>4464.666666666667</v>
      </c>
      <c r="C4" s="52" t="s">
        <v>71</v>
      </c>
      <c r="D4" s="19">
        <f>SUM(D2:D3)</f>
        <v>3501.6666666666665</v>
      </c>
      <c r="E4" s="53" t="s">
        <v>71</v>
      </c>
      <c r="F4" s="20">
        <f>SUM(F2:F3)</f>
        <v>2553.3333333333335</v>
      </c>
    </row>
  </sheetData>
  <sheetProtection selectLockedCells="1" selectUnlockedCells="1"/>
  <mergeCells count="3">
    <mergeCell ref="A1:B1"/>
    <mergeCell ref="C1:D1"/>
    <mergeCell ref="E1:F1"/>
  </mergeCells>
  <phoneticPr fontId="2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D6D46-880A-441C-B27B-86C7EAC95DF9}">
  <sheetPr codeName="工作表9">
    <tabColor theme="6" tint="0.79998168889431442"/>
  </sheetPr>
  <dimension ref="A1:L15"/>
  <sheetViews>
    <sheetView zoomScale="85" zoomScaleNormal="85" workbookViewId="0">
      <selection activeCell="E13" sqref="E13"/>
    </sheetView>
  </sheetViews>
  <sheetFormatPr defaultColWidth="8.8125" defaultRowHeight="17.25"/>
  <cols>
    <col min="1" max="1" width="12" style="9" bestFit="1" customWidth="1"/>
    <col min="2" max="2" width="20.375" style="9" bestFit="1" customWidth="1"/>
    <col min="3" max="3" width="16.1875" style="9" bestFit="1" customWidth="1"/>
    <col min="4" max="4" width="20.6875" style="9" bestFit="1" customWidth="1"/>
    <col min="5" max="5" width="14.6875" style="9" bestFit="1" customWidth="1"/>
    <col min="6" max="6" width="18.375" style="9" bestFit="1" customWidth="1"/>
    <col min="7" max="7" width="8.8125" style="5"/>
    <col min="8" max="8" width="22.6875" style="5" customWidth="1"/>
    <col min="9" max="9" width="20.3125" style="5" bestFit="1" customWidth="1"/>
    <col min="10" max="10" width="14.125" style="5" bestFit="1" customWidth="1"/>
    <col min="11" max="11" width="8.8125" style="5"/>
    <col min="12" max="12" width="9.3125" style="5" bestFit="1" customWidth="1"/>
    <col min="13" max="16384" width="8.8125" style="5"/>
  </cols>
  <sheetData>
    <row r="1" spans="1:12" ht="15.6" customHeight="1" thickBot="1">
      <c r="A1" s="9" t="s">
        <v>43</v>
      </c>
      <c r="B1" s="9" t="s">
        <v>47</v>
      </c>
      <c r="C1" s="9" t="s">
        <v>50</v>
      </c>
      <c r="D1" s="9" t="s">
        <v>44</v>
      </c>
      <c r="E1" s="9" t="s">
        <v>45</v>
      </c>
      <c r="F1" s="9" t="s">
        <v>46</v>
      </c>
      <c r="H1" s="78" t="s">
        <v>54</v>
      </c>
      <c r="I1" s="78"/>
      <c r="J1" s="78"/>
      <c r="K1" s="81" t="s">
        <v>66</v>
      </c>
      <c r="L1" s="81"/>
    </row>
    <row r="2" spans="1:12" ht="18" thickTop="1" thickBot="1">
      <c r="A2" s="10">
        <v>44409</v>
      </c>
      <c r="B2" s="55">
        <v>60</v>
      </c>
      <c r="C2" s="55">
        <v>200</v>
      </c>
      <c r="D2" s="55">
        <v>150</v>
      </c>
      <c r="E2" s="55">
        <v>50</v>
      </c>
      <c r="F2" s="55">
        <f>SUM(Day_off[[#This Row],[Public Transport]:[Drink]])</f>
        <v>460</v>
      </c>
      <c r="H2" s="109" t="s">
        <v>48</v>
      </c>
      <c r="I2" s="11" t="s">
        <v>47</v>
      </c>
      <c r="J2" s="56">
        <f>AVERAGE(Day_off[[#This Row],[Public Transport]])</f>
        <v>60</v>
      </c>
      <c r="K2" s="82"/>
      <c r="L2" s="82"/>
    </row>
    <row r="3" spans="1:12" ht="17.649999999999999" thickTop="1">
      <c r="A3" s="10">
        <v>44416</v>
      </c>
      <c r="B3" s="55">
        <v>40</v>
      </c>
      <c r="C3" s="55">
        <v>0</v>
      </c>
      <c r="D3" s="55">
        <v>100</v>
      </c>
      <c r="E3" s="55">
        <v>20</v>
      </c>
      <c r="F3" s="55">
        <f>SUM(Day_off[[#This Row],[Public Transport]:[Drink]])</f>
        <v>160</v>
      </c>
      <c r="H3" s="109"/>
      <c r="I3" s="11" t="s">
        <v>49</v>
      </c>
      <c r="J3" s="56">
        <f>AVERAGE(Day_off[Taxi/Uber])</f>
        <v>87.5</v>
      </c>
      <c r="K3" s="12" t="str" cm="1">
        <f t="array" ref="K3:L4">IF(SUM(ISERROR(Day_off[])*1,ISERROR(YEAR(Day_off[Date]))*1)&gt;0,NA(),_xlfn._xlws.SORT(CHOOSE({1,2},_xlfn.UNIQUE(TEXT(Day_off[Date],"yyyy-mm")),MMULT(((_xlfn.UNIQUE(TEXT(Day_off[Date],"yyyy-mm"))=TRANSPOSE(TEXT(Day_off[Date],"yyyy-mm")))+0),IF(ISNUMBER(Day_off[Total Spending]),Day_off[Total Spending],0))),1,1))</f>
        <v>2021-08</v>
      </c>
      <c r="L3" s="13">
        <v>620</v>
      </c>
    </row>
    <row r="4" spans="1:12">
      <c r="A4" s="10">
        <v>44440</v>
      </c>
      <c r="B4" s="55">
        <v>50</v>
      </c>
      <c r="C4" s="55">
        <v>0</v>
      </c>
      <c r="D4" s="55">
        <v>125</v>
      </c>
      <c r="E4" s="55">
        <v>30</v>
      </c>
      <c r="F4" s="55">
        <f>SUM(Day_off[[#This Row],[Public Transport]:[Drink]])</f>
        <v>205</v>
      </c>
      <c r="H4" s="109"/>
      <c r="I4" s="11" t="s">
        <v>44</v>
      </c>
      <c r="J4" s="56">
        <f>AVERAGE(Day_off[Food and Snacks])</f>
        <v>112.5</v>
      </c>
      <c r="K4" s="12" t="str">
        <v>2021-09</v>
      </c>
      <c r="L4" s="13">
        <v>470</v>
      </c>
    </row>
    <row r="5" spans="1:12">
      <c r="A5" s="10">
        <v>44447</v>
      </c>
      <c r="B5" s="55">
        <v>30</v>
      </c>
      <c r="C5" s="55">
        <v>150</v>
      </c>
      <c r="D5" s="55">
        <v>75</v>
      </c>
      <c r="E5" s="55">
        <v>10</v>
      </c>
      <c r="F5" s="55">
        <f>SUM(Day_off[[#This Row],[Public Transport]:[Drink]])</f>
        <v>265</v>
      </c>
      <c r="H5" s="109"/>
      <c r="I5" s="11" t="s">
        <v>45</v>
      </c>
      <c r="J5" s="56">
        <f>AVERAGE(Day_off[Drink])</f>
        <v>27.5</v>
      </c>
      <c r="K5" s="12"/>
      <c r="L5" s="13"/>
    </row>
    <row r="6" spans="1:12" ht="17.649999999999999" thickBot="1">
      <c r="H6" s="45" t="s">
        <v>51</v>
      </c>
      <c r="I6" s="46">
        <v>44409</v>
      </c>
      <c r="J6" s="47">
        <f>EOMONTH(I6,0)</f>
        <v>44439</v>
      </c>
      <c r="K6" s="12"/>
      <c r="L6" s="13"/>
    </row>
    <row r="7" spans="1:12" ht="17.649999999999999" thickTop="1">
      <c r="H7" s="79" t="s">
        <v>48</v>
      </c>
      <c r="I7" s="14" t="s">
        <v>47</v>
      </c>
      <c r="J7" s="57">
        <f>AVERAGEIFS(Day_off[Public Transport],Day_off[Date],"&gt;="&amp;$I$6,Day_off[Date],"&lt;="&amp;$J$6)</f>
        <v>50</v>
      </c>
      <c r="K7" s="12"/>
      <c r="L7" s="13"/>
    </row>
    <row r="8" spans="1:12">
      <c r="H8" s="79"/>
      <c r="I8" s="14" t="s">
        <v>49</v>
      </c>
      <c r="J8" s="57">
        <f>AVERAGEIFS(Day_off[Taxi/Uber],Day_off[Date],"&gt;="&amp;$I$6,Day_off[Date],"&lt;="&amp;$J$6)</f>
        <v>100</v>
      </c>
      <c r="K8" s="12"/>
      <c r="L8" s="13"/>
    </row>
    <row r="9" spans="1:12">
      <c r="H9" s="79"/>
      <c r="I9" s="14" t="s">
        <v>44</v>
      </c>
      <c r="J9" s="57">
        <f>AVERAGEIFS(Day_off[Food and Snacks],Day_off[Date],"&gt;="&amp;$I$6,Day_off[Date],"&lt;="&amp;$J$6)</f>
        <v>125</v>
      </c>
      <c r="K9" s="12"/>
      <c r="L9" s="13"/>
    </row>
    <row r="10" spans="1:12">
      <c r="H10" s="79"/>
      <c r="I10" s="14" t="s">
        <v>45</v>
      </c>
      <c r="J10" s="57">
        <f>AVERAGEIFS(Day_off[Drink],Day_off[Date],"&gt;="&amp;$I$6,Day_off[Date],"&lt;="&amp;$J$6)</f>
        <v>35</v>
      </c>
      <c r="K10" s="12"/>
      <c r="L10" s="13"/>
    </row>
    <row r="11" spans="1:12" ht="15.6" customHeight="1">
      <c r="H11" s="80" t="s">
        <v>52</v>
      </c>
      <c r="I11" s="48" t="s">
        <v>47</v>
      </c>
      <c r="J11" s="58">
        <f>SUMIFS(Day_off[Public Transport],Day_off[Date],"&gt;="&amp;$I$6,Day_off[Date],"&lt;="&amp;$J$6)</f>
        <v>100</v>
      </c>
      <c r="K11" s="12"/>
      <c r="L11" s="13"/>
    </row>
    <row r="12" spans="1:12">
      <c r="H12" s="80"/>
      <c r="I12" s="48" t="s">
        <v>49</v>
      </c>
      <c r="J12" s="58">
        <f>SUMIFS(Day_off[Taxi/Uber],Day_off[Date],"&gt;="&amp;$I$6,Day_off[Date],"&lt;="&amp;$J$6)</f>
        <v>200</v>
      </c>
      <c r="K12" s="12"/>
      <c r="L12" s="13"/>
    </row>
    <row r="13" spans="1:12">
      <c r="H13" s="80"/>
      <c r="I13" s="48" t="s">
        <v>44</v>
      </c>
      <c r="J13" s="58">
        <f>SUMIFS(Day_off[Food and Snacks],Day_off[Date],"&gt;="&amp;$I$6,Day_off[Date],"&lt;="&amp;$J$6)</f>
        <v>250</v>
      </c>
      <c r="K13" s="12"/>
      <c r="L13" s="13"/>
    </row>
    <row r="14" spans="1:12">
      <c r="H14" s="80"/>
      <c r="I14" s="48" t="s">
        <v>45</v>
      </c>
      <c r="J14" s="58">
        <f>SUMIFS(Day_off[Drink],Day_off[Date],"&gt;="&amp;$I$6,Day_off[Date],"&lt;="&amp;$J$6)</f>
        <v>70</v>
      </c>
      <c r="K14" s="12"/>
      <c r="L14" s="13"/>
    </row>
    <row r="15" spans="1:12">
      <c r="H15" s="80"/>
      <c r="I15" s="48" t="s">
        <v>53</v>
      </c>
      <c r="J15" s="58">
        <f>SUMIFS(Day_off[Total Spending],Day_off[Date],"&gt;="&amp;$I$6,Day_off[Date],"&lt;="&amp;$J$6)</f>
        <v>620</v>
      </c>
      <c r="K15" s="16"/>
      <c r="L15" s="17"/>
    </row>
  </sheetData>
  <sheetProtection selectLockedCells="1"/>
  <mergeCells count="5">
    <mergeCell ref="H2:H5"/>
    <mergeCell ref="H1:J1"/>
    <mergeCell ref="H7:H10"/>
    <mergeCell ref="H11:H15"/>
    <mergeCell ref="K1:L2"/>
  </mergeCells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E0DC3-AB5A-4716-9580-1D06F2F80663}">
  <sheetPr codeName="工作表10">
    <tabColor theme="9" tint="0.79998168889431442"/>
  </sheetPr>
  <dimension ref="A1:E10"/>
  <sheetViews>
    <sheetView zoomScale="130" zoomScaleNormal="130" workbookViewId="0">
      <selection activeCell="C8" sqref="C8:D8"/>
    </sheetView>
  </sheetViews>
  <sheetFormatPr defaultColWidth="8.875" defaultRowHeight="15"/>
  <cols>
    <col min="1" max="1" width="9.1875" style="22" customWidth="1"/>
    <col min="2" max="2" width="27.1875" style="22" customWidth="1"/>
    <col min="3" max="3" width="7.375" style="22" bestFit="1" customWidth="1"/>
    <col min="4" max="4" width="19.125" style="22" customWidth="1"/>
    <col min="5" max="16384" width="8.875" style="22"/>
  </cols>
  <sheetData>
    <row r="1" spans="1:5" s="21" customFormat="1">
      <c r="A1" s="83" t="s">
        <v>55</v>
      </c>
      <c r="B1" s="83"/>
      <c r="C1" s="83"/>
      <c r="D1" s="84"/>
    </row>
    <row r="2" spans="1:5" s="21" customFormat="1" ht="15.4" thickBot="1">
      <c r="A2" s="85"/>
      <c r="B2" s="85"/>
      <c r="C2" s="85"/>
      <c r="D2" s="86"/>
    </row>
    <row r="3" spans="1:5" s="21" customFormat="1" ht="20.65" thickTop="1" thickBot="1">
      <c r="A3" s="87" t="s">
        <v>62</v>
      </c>
      <c r="B3" s="88"/>
      <c r="C3" s="49">
        <v>2021</v>
      </c>
      <c r="D3" s="50">
        <v>8</v>
      </c>
    </row>
    <row r="4" spans="1:5" s="21" customFormat="1" ht="20.25" thickTop="1">
      <c r="A4" s="89" t="s">
        <v>58</v>
      </c>
      <c r="B4" s="89"/>
      <c r="C4" s="90">
        <v>1</v>
      </c>
      <c r="D4" s="91"/>
    </row>
    <row r="5" spans="1:5" s="21" customFormat="1" ht="19.899999999999999">
      <c r="A5" s="89" t="s">
        <v>64</v>
      </c>
      <c r="B5" s="89"/>
      <c r="C5" s="92">
        <f>IF(C4=1,'Expense comparison'!$B$4,IF(C4=2,'Expense comparison'!$D$4,IF(C4=3,'Expense comparison'!$F$4)))-COUNTIFS(Day_off[Date],"&gt;="&amp;DATE('Monthly Expense Calculator'!C3,'Monthly Expense Calculator'!D3,1),Day_off[Date],"&lt;="&amp;EOMONTH(DATE('Monthly Expense Calculator'!C3,'Monthly Expense Calculator'!D3,1),0))*IF(C4=1,SUM(OG_Expense_daily[Each day expense in weekend]),IF(C4=2,SUM(LowB_Expense_daily[Each day expense in weekend]),IF(C4=3,SUM(Min_Expense_daily[Each day expense in weekend]))))</f>
        <v>4184.666666666667</v>
      </c>
      <c r="D5" s="93"/>
    </row>
    <row r="6" spans="1:5" s="21" customFormat="1" ht="19.899999999999999">
      <c r="A6" s="89" t="s">
        <v>59</v>
      </c>
      <c r="B6" s="89"/>
      <c r="C6" s="92">
        <f>SUMIFS(Day_off[Total Spending],Day_off[Date],"&gt;="&amp;DATE(C3,D3,1),Day_off[Date],"&lt;="&amp;EOMONTH(DATE(C3,D3,1),0))</f>
        <v>620</v>
      </c>
      <c r="D6" s="93"/>
    </row>
    <row r="7" spans="1:5" s="21" customFormat="1" ht="20.25" thickBot="1">
      <c r="A7" s="89" t="s">
        <v>60</v>
      </c>
      <c r="B7" s="89"/>
      <c r="C7" s="98">
        <f>SUMIFS(Inventory_list[Price],Inventory_list[Date of buying],"&gt;="&amp;DATE('Monthly Expense Calculator'!C3,'Monthly Expense Calculator'!D3,1),Inventory_list[Date of buying],"&lt;="&amp;EOMONTH(DATE('Monthly Expense Calculator'!C3,'Monthly Expense Calculator'!D3,1),0))</f>
        <v>200</v>
      </c>
      <c r="D7" s="99"/>
    </row>
    <row r="8" spans="1:5" s="21" customFormat="1" ht="20.65" thickTop="1" thickBot="1">
      <c r="A8" s="102" t="s">
        <v>61</v>
      </c>
      <c r="B8" s="102"/>
      <c r="C8" s="96">
        <v>0</v>
      </c>
      <c r="D8" s="97"/>
    </row>
    <row r="9" spans="1:5" s="21" customFormat="1" ht="27.75" thickTop="1" thickBot="1">
      <c r="A9" s="103" t="s">
        <v>21</v>
      </c>
      <c r="B9" s="103"/>
      <c r="C9" s="100">
        <f>SUM(C5:D8)</f>
        <v>5004.666666666667</v>
      </c>
      <c r="D9" s="101"/>
      <c r="E9" s="23"/>
    </row>
    <row r="10" spans="1:5" ht="15.4" thickTop="1">
      <c r="C10" s="94"/>
      <c r="D10" s="95"/>
    </row>
  </sheetData>
  <sheetProtection selectLockedCells="1"/>
  <mergeCells count="15">
    <mergeCell ref="C10:D10"/>
    <mergeCell ref="C8:D8"/>
    <mergeCell ref="A6:B6"/>
    <mergeCell ref="C6:D6"/>
    <mergeCell ref="A7:B7"/>
    <mergeCell ref="C7:D7"/>
    <mergeCell ref="C9:D9"/>
    <mergeCell ref="A8:B8"/>
    <mergeCell ref="A9:B9"/>
    <mergeCell ref="A1:D2"/>
    <mergeCell ref="A3:B3"/>
    <mergeCell ref="A4:B4"/>
    <mergeCell ref="C4:D4"/>
    <mergeCell ref="A5:B5"/>
    <mergeCell ref="C5:D5"/>
  </mergeCells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>
                <anchor moveWithCells="1">
                  <from>
                    <xdr:col>2</xdr:col>
                    <xdr:colOff>0</xdr:colOff>
                    <xdr:row>3</xdr:row>
                    <xdr:rowOff>14288</xdr:rowOff>
                  </from>
                  <to>
                    <xdr:col>4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92550-ED61-4F1B-8022-042495B4830C}">
  <sheetPr codeName="工作表13">
    <tabColor theme="9" tint="-0.499984740745262"/>
  </sheetPr>
  <dimension ref="A1:I5"/>
  <sheetViews>
    <sheetView workbookViewId="0">
      <selection activeCell="A2" sqref="A2"/>
    </sheetView>
  </sheetViews>
  <sheetFormatPr defaultColWidth="8.8125" defaultRowHeight="17.25"/>
  <cols>
    <col min="1" max="1" width="17.875" style="5" bestFit="1" customWidth="1"/>
    <col min="2" max="2" width="29.875" style="5" bestFit="1" customWidth="1"/>
    <col min="3" max="3" width="13" style="5" bestFit="1" customWidth="1"/>
    <col min="4" max="4" width="68.1875" style="5" bestFit="1" customWidth="1"/>
    <col min="5" max="5" width="20.3125" style="5" bestFit="1" customWidth="1"/>
    <col min="6" max="7" width="28.125" style="5" bestFit="1" customWidth="1"/>
    <col min="8" max="8" width="20.625" style="5" bestFit="1" customWidth="1"/>
    <col min="9" max="9" width="29" style="5" bestFit="1" customWidth="1"/>
    <col min="10" max="10" width="28.375" style="5" bestFit="1" customWidth="1"/>
    <col min="11" max="16384" width="8.8125" style="5"/>
  </cols>
  <sheetData>
    <row r="1" spans="1:9">
      <c r="A1" s="24" t="s">
        <v>10</v>
      </c>
      <c r="B1" s="25" t="s">
        <v>14</v>
      </c>
      <c r="C1" s="25" t="s">
        <v>11</v>
      </c>
      <c r="D1" s="25" t="s">
        <v>12</v>
      </c>
      <c r="E1" s="25" t="s">
        <v>13</v>
      </c>
      <c r="F1" s="25" t="s">
        <v>65</v>
      </c>
      <c r="G1" s="25" t="s">
        <v>81</v>
      </c>
      <c r="H1" s="25" t="s">
        <v>15</v>
      </c>
      <c r="I1" s="25" t="s">
        <v>16</v>
      </c>
    </row>
    <row r="2" spans="1:9">
      <c r="A2" s="59">
        <v>5000</v>
      </c>
      <c r="B2" s="26">
        <f ca="1">_xlfn.DAYS(TODAY(),Inventory_list[[#This Row],[Date of buying]])</f>
        <v>876</v>
      </c>
      <c r="C2" s="5" t="s">
        <v>17</v>
      </c>
      <c r="D2" s="5" t="s">
        <v>79</v>
      </c>
      <c r="E2" s="27">
        <v>43831</v>
      </c>
      <c r="F2" s="27" t="s">
        <v>80</v>
      </c>
      <c r="G2" s="26"/>
      <c r="H2" s="5" t="s">
        <v>17</v>
      </c>
    </row>
    <row r="3" spans="1:9">
      <c r="A3" s="59">
        <v>3000</v>
      </c>
      <c r="B3" s="26">
        <f ca="1">_xlfn.DAYS(TODAY(),Inventory_list[[#This Row],[Date of buying]])</f>
        <v>845</v>
      </c>
      <c r="C3" s="5" t="s">
        <v>67</v>
      </c>
      <c r="D3" s="5" t="s">
        <v>82</v>
      </c>
      <c r="E3" s="27">
        <v>43862</v>
      </c>
      <c r="F3" s="27" t="s">
        <v>83</v>
      </c>
      <c r="G3" s="26"/>
      <c r="H3" s="26" t="s">
        <v>67</v>
      </c>
    </row>
    <row r="4" spans="1:9">
      <c r="A4" s="59">
        <v>200</v>
      </c>
      <c r="B4" s="26">
        <f ca="1">_xlfn.DAYS(TODAY(),Inventory_list[[#This Row],[Date of buying]])</f>
        <v>298</v>
      </c>
      <c r="C4" s="5" t="s">
        <v>67</v>
      </c>
      <c r="D4" s="5" t="s">
        <v>84</v>
      </c>
      <c r="E4" s="27">
        <v>44409</v>
      </c>
      <c r="F4" s="27" t="s">
        <v>67</v>
      </c>
      <c r="G4" s="26"/>
      <c r="H4" s="26" t="s">
        <v>67</v>
      </c>
    </row>
    <row r="5" spans="1:9">
      <c r="D5" s="28" t="s">
        <v>69</v>
      </c>
    </row>
  </sheetData>
  <sheetProtection selectLockedCells="1" selectUnlockedCells="1"/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E638E-A2B4-4621-AF30-C7D396F6CBEB}">
  <sheetPr codeName="工作表14">
    <tabColor rgb="FFC00000"/>
  </sheetPr>
  <dimension ref="A1:G2"/>
  <sheetViews>
    <sheetView workbookViewId="0">
      <selection activeCell="A2" sqref="A2"/>
    </sheetView>
  </sheetViews>
  <sheetFormatPr defaultColWidth="8.8125" defaultRowHeight="17.25"/>
  <cols>
    <col min="1" max="1" width="17.875" style="5" bestFit="1" customWidth="1"/>
    <col min="2" max="2" width="28.125" style="5" bestFit="1" customWidth="1"/>
    <col min="3" max="3" width="13" style="5" bestFit="1" customWidth="1"/>
    <col min="4" max="4" width="68.1875" style="5" bestFit="1" customWidth="1"/>
    <col min="5" max="5" width="20.3125" style="5" bestFit="1" customWidth="1"/>
    <col min="6" max="6" width="28.125" style="5" bestFit="1" customWidth="1"/>
    <col min="7" max="7" width="28.875" style="5" customWidth="1"/>
    <col min="8" max="8" width="29" style="5" bestFit="1" customWidth="1"/>
    <col min="9" max="9" width="28.375" style="5" bestFit="1" customWidth="1"/>
    <col min="10" max="16384" width="8.8125" style="5"/>
  </cols>
  <sheetData>
    <row r="1" spans="1:7">
      <c r="A1" s="24" t="s">
        <v>10</v>
      </c>
      <c r="B1" s="25" t="s">
        <v>23</v>
      </c>
      <c r="C1" s="25" t="s">
        <v>11</v>
      </c>
      <c r="D1" s="25" t="s">
        <v>12</v>
      </c>
      <c r="E1" s="25" t="s">
        <v>13</v>
      </c>
      <c r="F1" s="25" t="s">
        <v>22</v>
      </c>
      <c r="G1" s="25" t="s">
        <v>16</v>
      </c>
    </row>
    <row r="2" spans="1:7">
      <c r="A2" s="59">
        <v>3000</v>
      </c>
      <c r="B2" s="26">
        <f>obsolete_list[[#This Row],[Date of obsolete]]-obsolete_list[[#This Row],[Date of buying]]</f>
        <v>1826</v>
      </c>
      <c r="C2" s="5" t="s">
        <v>67</v>
      </c>
      <c r="D2" s="5" t="s">
        <v>85</v>
      </c>
      <c r="E2" s="27">
        <v>42005</v>
      </c>
      <c r="F2" s="27">
        <v>43831</v>
      </c>
      <c r="G2" s="29" t="s">
        <v>86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41190-C1A9-40DB-8D55-CD28D4B9CE58}">
  <sheetPr codeName="工作表15">
    <tabColor theme="3" tint="-0.499984740745262"/>
  </sheetPr>
  <dimension ref="A1:C19"/>
  <sheetViews>
    <sheetView zoomScale="115" zoomScaleNormal="115" workbookViewId="0">
      <selection activeCell="B25" sqref="B25"/>
    </sheetView>
  </sheetViews>
  <sheetFormatPr defaultColWidth="8.8125" defaultRowHeight="17.25"/>
  <cols>
    <col min="1" max="1" width="32.3125" style="5" bestFit="1" customWidth="1"/>
    <col min="2" max="2" width="29.875" style="5" bestFit="1" customWidth="1"/>
    <col min="3" max="3" width="79.375" style="5" bestFit="1" customWidth="1"/>
    <col min="4" max="16384" width="8.8125" style="5"/>
  </cols>
  <sheetData>
    <row r="1" spans="1:3" ht="17.649999999999999" thickBot="1">
      <c r="A1" s="104" t="s">
        <v>18</v>
      </c>
      <c r="B1" s="104"/>
      <c r="C1" s="104"/>
    </row>
    <row r="2" spans="1:3" ht="29" customHeight="1" thickTop="1">
      <c r="A2" s="34" t="s">
        <v>29</v>
      </c>
      <c r="B2" s="60">
        <f>SUM(Inventory_list[Price])</f>
        <v>8200</v>
      </c>
      <c r="C2" s="15"/>
    </row>
    <row r="3" spans="1:3" ht="17.649999999999999" thickBot="1">
      <c r="A3" s="105" t="s">
        <v>24</v>
      </c>
      <c r="B3" s="105"/>
      <c r="C3" s="105"/>
    </row>
    <row r="4" spans="1:3" ht="17.649999999999999" thickTop="1">
      <c r="A4" s="30" t="s">
        <v>25</v>
      </c>
      <c r="B4" s="61">
        <f>MAX(Inventory_list[Price])</f>
        <v>5000</v>
      </c>
      <c r="C4" s="31" t="str">
        <f>CONCATENATE(VLOOKUP($B$4,Inventory_list[],3,FALSE)," ",VLOOKUP($B$4,Inventory_list[],4,FALSE))</f>
        <v>N.A. Laptop</v>
      </c>
    </row>
    <row r="5" spans="1:3">
      <c r="A5" s="30" t="s">
        <v>26</v>
      </c>
      <c r="B5" s="61">
        <f>LARGE(Inventory_list[Price],2)</f>
        <v>3000</v>
      </c>
      <c r="C5" s="31" t="str">
        <f>CONCATENATE(VLOOKUP($B$5,Inventory_list[],3,FALSE)," ",VLOOKUP($B$5,Inventory_list[],4,FALSE))</f>
        <v>N.A. Phone</v>
      </c>
    </row>
    <row r="6" spans="1:3">
      <c r="A6" s="30" t="s">
        <v>27</v>
      </c>
      <c r="B6" s="61">
        <f>LARGE(Inventory_list[Price],3)</f>
        <v>200</v>
      </c>
      <c r="C6" s="31" t="str">
        <f>CONCATENATE(VLOOKUP($B$6,Inventory_list[],3,FALSE)," ",VLOOKUP($B$6,Inventory_list[],4,FALSE))</f>
        <v>N.A. Clothings</v>
      </c>
    </row>
    <row r="7" spans="1:3" ht="17.649999999999999" thickBot="1">
      <c r="A7" s="108" t="s">
        <v>30</v>
      </c>
      <c r="B7" s="108"/>
      <c r="C7" s="108"/>
    </row>
    <row r="8" spans="1:3" ht="17.649999999999999" thickTop="1">
      <c r="A8" s="35" t="s">
        <v>25</v>
      </c>
      <c r="B8" s="62">
        <f>SMALL(Inventory_list[Price],1)</f>
        <v>200</v>
      </c>
      <c r="C8" s="36" t="str">
        <f>CONCATENATE(VLOOKUP($B$8,Inventory_list[],3,FALSE)," ",VLOOKUP($B$8,Inventory_list[],4,FALSE))</f>
        <v>N.A. Clothings</v>
      </c>
    </row>
    <row r="9" spans="1:3">
      <c r="A9" s="35" t="s">
        <v>26</v>
      </c>
      <c r="B9" s="62">
        <f>SMALL(Inventory_list[Price],2)</f>
        <v>3000</v>
      </c>
      <c r="C9" s="36" t="str">
        <f>CONCATENATE(VLOOKUP($B$9,Inventory_list[],3,FALSE)," ",VLOOKUP($B$9,Inventory_list[],4,FALSE))</f>
        <v>N.A. Phone</v>
      </c>
    </row>
    <row r="10" spans="1:3">
      <c r="A10" s="35" t="s">
        <v>27</v>
      </c>
      <c r="B10" s="62">
        <f>SMALL(Inventory_list[Price],3)</f>
        <v>5000</v>
      </c>
      <c r="C10" s="36" t="str">
        <f>CONCATENATE(VLOOKUP($B$10,Inventory_list[],3,FALSE)," ",VLOOKUP($B$10,Inventory_list[],4,FALSE))</f>
        <v>N.A. Laptop</v>
      </c>
    </row>
    <row r="11" spans="1:3" ht="17.649999999999999" thickBot="1">
      <c r="A11" s="106" t="s">
        <v>28</v>
      </c>
      <c r="B11" s="106"/>
      <c r="C11" s="106"/>
    </row>
    <row r="12" spans="1:3" ht="17.649999999999999" thickTop="1">
      <c r="A12" s="33" t="s">
        <v>25</v>
      </c>
      <c r="B12" s="37">
        <f ca="1">MAX(Inventory_list[Total day of ownership])</f>
        <v>876</v>
      </c>
      <c r="C12" s="38" t="str">
        <f ca="1">CONCATENATE(VLOOKUP($B$12,Inventory_list[[Total day of ownership]:[Notes]],2,FALSE)," ",VLOOKUP($B$12,Inventory_list[[Total day of ownership]:[Notes]],3,FALSE))</f>
        <v>N.A. Laptop</v>
      </c>
    </row>
    <row r="13" spans="1:3">
      <c r="A13" s="33" t="s">
        <v>26</v>
      </c>
      <c r="B13" s="37">
        <f ca="1">LARGE(Inventory_list[Total day of ownership],2)</f>
        <v>845</v>
      </c>
      <c r="C13" s="38" t="str">
        <f ca="1">CONCATENATE(VLOOKUP($B$13,Inventory_list[[Total day of ownership]:[Notes]],2,FALSE)," ",VLOOKUP($B$13,Inventory_list[[Total day of ownership]:[Notes]],3,FALSE))</f>
        <v>N.A. Phone</v>
      </c>
    </row>
    <row r="14" spans="1:3">
      <c r="A14" s="33" t="s">
        <v>27</v>
      </c>
      <c r="B14" s="37">
        <f ca="1">LARGE(Inventory_list[Total day of ownership],3)</f>
        <v>298</v>
      </c>
      <c r="C14" s="38" t="str">
        <f ca="1">CONCATENATE(VLOOKUP($B$14,Inventory_list[[Total day of ownership]:[Notes]],2,FALSE)," ",VLOOKUP($B$14,Inventory_list[[Total day of ownership]:[Notes]],3,FALSE))</f>
        <v>N.A. Clothings</v>
      </c>
    </row>
    <row r="15" spans="1:3">
      <c r="A15" s="32" t="s">
        <v>19</v>
      </c>
      <c r="B15" s="39" t="str" cm="1">
        <f t="array" ref="B15">INDEX(Inventory_list[Brand],MODE(MATCH(Inventory_list[Brand],Inventory_list[Brand],0)))</f>
        <v>N.A.</v>
      </c>
      <c r="C15" s="40"/>
    </row>
    <row r="16" spans="1:3" ht="17.649999999999999" thickBot="1">
      <c r="A16" s="107" t="s">
        <v>70</v>
      </c>
      <c r="B16" s="107"/>
      <c r="C16" s="107"/>
    </row>
    <row r="17" spans="1:3" ht="17.649999999999999" thickTop="1">
      <c r="A17" s="41" t="s">
        <v>25</v>
      </c>
      <c r="B17" s="42">
        <f>MAX(obsolete_list[No. of day owned])</f>
        <v>1826</v>
      </c>
      <c r="C17" s="43" t="str">
        <f>CONCATENATE(VLOOKUP($B$17,obsolete_list[[No. of day owned]:[Item Name]],2,FALSE)," ",VLOOKUP($B$17,obsolete_list[[No. of day owned]:[Item Name]],3,FALSE))</f>
        <v>N.A. Custom Build PC</v>
      </c>
    </row>
    <row r="18" spans="1:3">
      <c r="A18" s="41" t="s">
        <v>26</v>
      </c>
      <c r="B18" s="41" t="e">
        <f>LARGE(obsolete_list[No. of day owned],2)</f>
        <v>#NUM!</v>
      </c>
      <c r="C18" s="44" t="e">
        <f>CONCATENATE(VLOOKUP($B$18,obsolete_list[[No. of day owned]:[Item Name]],2,FALSE)," ",VLOOKUP($B$18,obsolete_list[[No. of day owned]:[Item Name]],3,FALSE))</f>
        <v>#NUM!</v>
      </c>
    </row>
    <row r="19" spans="1:3">
      <c r="A19" s="41" t="s">
        <v>27</v>
      </c>
      <c r="B19" s="41" t="e">
        <f>LARGE(obsolete_list[No. of day owned],3)</f>
        <v>#NUM!</v>
      </c>
      <c r="C19" s="44" t="e">
        <f>CONCATENATE(VLOOKUP($B$19,obsolete_list[[No. of day owned]:[Item Name]],2,FALSE)," ",VLOOKUP($B$19,obsolete_list[[No. of day owned]:[Item Name]],3,FALSE))</f>
        <v>#NUM!</v>
      </c>
    </row>
  </sheetData>
  <sheetProtection selectLockedCells="1" selectUnlockedCells="1"/>
  <mergeCells count="5">
    <mergeCell ref="A1:C1"/>
    <mergeCell ref="A3:C3"/>
    <mergeCell ref="A11:C11"/>
    <mergeCell ref="A16:C16"/>
    <mergeCell ref="A7:C7"/>
  </mergeCells>
  <phoneticPr fontId="2" type="noConversion"/>
  <pageMargins left="0.7" right="0.7" top="0.75" bottom="0.75" header="0.3" footer="0.3"/>
  <pageSetup paperSize="9" orientation="portrait" r:id="rId1"/>
  <ignoredErrors>
    <ignoredError sqref="C19" evalError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5AACC-0649-495A-B858-1453766CF102}">
  <sheetPr codeName="工作表16">
    <tabColor theme="1"/>
  </sheetPr>
  <dimension ref="A1:A3"/>
  <sheetViews>
    <sheetView workbookViewId="0">
      <selection activeCell="H9" sqref="H9"/>
    </sheetView>
  </sheetViews>
  <sheetFormatPr defaultRowHeight="15.75"/>
  <sheetData>
    <row r="1" spans="1:1">
      <c r="A1" t="s">
        <v>57</v>
      </c>
    </row>
    <row r="2" spans="1:1">
      <c r="A2" t="s">
        <v>39</v>
      </c>
    </row>
    <row r="3" spans="1:1">
      <c r="A3" t="s">
        <v>56</v>
      </c>
    </row>
  </sheetData>
  <phoneticPr fontId="2" type="noConversion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2E2E1-F0A7-49F1-90AF-6385BB9996B3}">
  <sheetPr codeName="工作表17"/>
  <dimension ref="A1:C3"/>
  <sheetViews>
    <sheetView workbookViewId="0">
      <selection activeCell="B5" sqref="B5"/>
    </sheetView>
  </sheetViews>
  <sheetFormatPr defaultRowHeight="15.75"/>
  <cols>
    <col min="1" max="1" width="9.1875" bestFit="1" customWidth="1"/>
    <col min="2" max="2" width="14.6875" bestFit="1" customWidth="1"/>
    <col min="3" max="3" width="11.1875" bestFit="1" customWidth="1"/>
  </cols>
  <sheetData>
    <row r="1" spans="1:3" ht="16.25" customHeight="1">
      <c r="A1" t="s">
        <v>63</v>
      </c>
      <c r="B1" s="3" t="s">
        <v>89</v>
      </c>
      <c r="C1" t="s">
        <v>40</v>
      </c>
    </row>
    <row r="2" spans="1:3" ht="16.25" customHeight="1">
      <c r="A2" t="s">
        <v>90</v>
      </c>
      <c r="B2" t="s">
        <v>91</v>
      </c>
      <c r="C2">
        <v>500</v>
      </c>
    </row>
    <row r="3" spans="1:3">
      <c r="A3" t="s">
        <v>92</v>
      </c>
      <c r="B3" t="s">
        <v>93</v>
      </c>
      <c r="C3">
        <v>1000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Extra Tools</vt:lpstr>
      <vt:lpstr>Notepad</vt:lpstr>
      <vt:lpstr>Expense Estimate (Daily)</vt:lpstr>
      <vt:lpstr>Expense Estimate (Subscription)</vt:lpstr>
      <vt:lpstr>Lower Budget Mode (Daily)</vt:lpstr>
      <vt:lpstr>Lower Budget Mode (Subscription</vt:lpstr>
      <vt:lpstr>Minimum Expense (Daily)</vt:lpstr>
      <vt:lpstr>Minimum Expense (Subscription)</vt:lpstr>
      <vt:lpstr>Expense comparison</vt:lpstr>
      <vt:lpstr>Day-off Spending</vt:lpstr>
      <vt:lpstr>Monthly Expense Calculator</vt:lpstr>
      <vt:lpstr>Inventory</vt:lpstr>
      <vt:lpstr>Obsoleted Items</vt:lpstr>
      <vt:lpstr>Inventory (Stat)</vt:lpstr>
      <vt:lpstr>Combo Box List</vt:lpstr>
      <vt:lpstr>Fund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2022-05-26T02:17:49Z</dcterms:created>
  <dcterms:modified xsi:type="dcterms:W3CDTF">2022-05-26T11:38:45Z</dcterms:modified>
</cp:coreProperties>
</file>